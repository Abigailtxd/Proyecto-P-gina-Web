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1"/>
  </bookViews>
  <sheets>
    <sheet name="EMCA (1)" sheetId="61" r:id="rId1"/>
    <sheet name="EMCA(2)" sheetId="24" r:id="rId2"/>
  </sheets>
  <definedNames>
    <definedName name="_xlnm.Print_Titles" localSheetId="0">'EMCA (1)'!$1:$8</definedName>
    <definedName name="_xlnm.Print_Titles" localSheetId="1">'EMCA(2)'!$1:$8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10" i="24" l="1"/>
  <c r="G10" i="24"/>
  <c r="K10" i="24" s="1"/>
  <c r="J21" i="24"/>
  <c r="G21" i="24"/>
  <c r="J22" i="24"/>
  <c r="G22" i="24"/>
  <c r="K22" i="24" s="1"/>
  <c r="J29" i="24"/>
  <c r="G29" i="24"/>
  <c r="J17" i="24"/>
  <c r="G17" i="24"/>
  <c r="K17" i="24" s="1"/>
  <c r="J32" i="24"/>
  <c r="G32" i="24"/>
  <c r="J28" i="24"/>
  <c r="G28" i="24"/>
  <c r="K28" i="24" s="1"/>
  <c r="J30" i="24"/>
  <c r="G30" i="24"/>
  <c r="J26" i="24"/>
  <c r="G26" i="24"/>
  <c r="K26" i="24" s="1"/>
  <c r="J11" i="24"/>
  <c r="G11" i="24"/>
  <c r="J35" i="24"/>
  <c r="G35" i="24"/>
  <c r="K35" i="24" s="1"/>
  <c r="J15" i="24"/>
  <c r="G15" i="24"/>
  <c r="J9" i="24"/>
  <c r="G9" i="24"/>
  <c r="K9" i="24" s="1"/>
  <c r="J34" i="24"/>
  <c r="G34" i="24"/>
  <c r="J31" i="24"/>
  <c r="G31" i="24"/>
  <c r="K31" i="24" s="1"/>
  <c r="J24" i="24"/>
  <c r="G24" i="24"/>
  <c r="J23" i="24"/>
  <c r="G23" i="24"/>
  <c r="K23" i="24" s="1"/>
  <c r="J12" i="24"/>
  <c r="G12" i="24"/>
  <c r="J20" i="24"/>
  <c r="G20" i="24"/>
  <c r="K20" i="24" s="1"/>
  <c r="J36" i="24"/>
  <c r="G36" i="24"/>
  <c r="J13" i="24"/>
  <c r="G13" i="24"/>
  <c r="K13" i="24" s="1"/>
  <c r="J18" i="24"/>
  <c r="G18" i="24"/>
  <c r="J27" i="24"/>
  <c r="G27" i="24"/>
  <c r="K27" i="24" s="1"/>
  <c r="J16" i="24"/>
  <c r="G16" i="24"/>
  <c r="J33" i="24"/>
  <c r="G33" i="24"/>
  <c r="K33" i="24" s="1"/>
  <c r="J25" i="24"/>
  <c r="G25" i="24"/>
  <c r="J14" i="24"/>
  <c r="G14" i="24"/>
  <c r="K14" i="24" s="1"/>
  <c r="J19" i="24"/>
  <c r="G19" i="24"/>
  <c r="J34" i="61"/>
  <c r="G34" i="61"/>
  <c r="K34" i="61" s="1"/>
  <c r="J27" i="61"/>
  <c r="G27" i="61"/>
  <c r="J17" i="61"/>
  <c r="G17" i="61"/>
  <c r="K17" i="61" s="1"/>
  <c r="J12" i="61"/>
  <c r="G12" i="61"/>
  <c r="J23" i="61"/>
  <c r="G23" i="61"/>
  <c r="K23" i="61" s="1"/>
  <c r="J25" i="61"/>
  <c r="G25" i="61"/>
  <c r="J31" i="61"/>
  <c r="G31" i="61"/>
  <c r="K31" i="61" s="1"/>
  <c r="J15" i="61"/>
  <c r="G15" i="61"/>
  <c r="J9" i="61"/>
  <c r="G9" i="61"/>
  <c r="K9" i="61" s="1"/>
  <c r="J20" i="61"/>
  <c r="G20" i="61"/>
  <c r="J24" i="61"/>
  <c r="G24" i="61"/>
  <c r="K24" i="61" s="1"/>
  <c r="J18" i="61"/>
  <c r="G18" i="61"/>
  <c r="J32" i="61"/>
  <c r="G32" i="61"/>
  <c r="K32" i="61" s="1"/>
  <c r="J30" i="61"/>
  <c r="G30" i="61"/>
  <c r="J28" i="61"/>
  <c r="G28" i="61"/>
  <c r="K28" i="61" s="1"/>
  <c r="J19" i="61"/>
  <c r="G19" i="61"/>
  <c r="J10" i="61"/>
  <c r="G10" i="61"/>
  <c r="K10" i="61" s="1"/>
  <c r="J22" i="61"/>
  <c r="G22" i="61"/>
  <c r="J14" i="61"/>
  <c r="G14" i="61"/>
  <c r="K14" i="61" s="1"/>
  <c r="J13" i="61"/>
  <c r="G13" i="61"/>
  <c r="J11" i="61"/>
  <c r="G11" i="61"/>
  <c r="K11" i="61" s="1"/>
  <c r="J33" i="61"/>
  <c r="G33" i="61"/>
  <c r="J36" i="61"/>
  <c r="G36" i="61"/>
  <c r="K36" i="61" s="1"/>
  <c r="J29" i="61"/>
  <c r="G29" i="61"/>
  <c r="J26" i="61"/>
  <c r="G26" i="61"/>
  <c r="K26" i="61" s="1"/>
  <c r="J21" i="61"/>
  <c r="G21" i="61"/>
  <c r="J35" i="61"/>
  <c r="G35" i="61"/>
  <c r="K35" i="61" s="1"/>
  <c r="J16" i="61"/>
  <c r="G16" i="61"/>
  <c r="K16" i="61" l="1"/>
  <c r="K21" i="61"/>
  <c r="K29" i="61"/>
  <c r="K33" i="61"/>
  <c r="K13" i="61"/>
  <c r="K22" i="61"/>
  <c r="K19" i="61"/>
  <c r="K30" i="61"/>
  <c r="K18" i="61"/>
  <c r="K20" i="61"/>
  <c r="K15" i="61"/>
  <c r="K25" i="61"/>
  <c r="K12" i="61"/>
  <c r="K27" i="61"/>
  <c r="K19" i="24"/>
  <c r="K25" i="24"/>
  <c r="K16" i="24"/>
  <c r="K18" i="24"/>
  <c r="K36" i="24"/>
  <c r="K12" i="24"/>
  <c r="K24" i="24"/>
  <c r="K34" i="24"/>
  <c r="K15" i="24"/>
  <c r="K11" i="24"/>
  <c r="K30" i="24"/>
  <c r="K32" i="24"/>
  <c r="K29" i="24"/>
  <c r="K21" i="24"/>
  <c r="J8" i="61"/>
  <c r="G8" i="61"/>
  <c r="K8" i="61" l="1"/>
  <c r="J8" i="24"/>
  <c r="G8" i="24"/>
  <c r="K8" i="24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<sst xmlns="http://schemas.openxmlformats.org/spreadsheetml/2006/main" count="96" uniqueCount="76">
  <si>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</si>
  <si>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</si>
  <si>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</si>
  <si>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</si>
  <si>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</si>
  <si>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</si>
  <si>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</si>
  <si>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</si>
  <si>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</si>
  <si>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</si>
  <si>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</si>
  <si>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</si>
  <si>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</si>
  <si>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</si>
  <si>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</si>
  <si>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</si>
  <si>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 xml:space="preserve">TURNO MAÑANA CURSO: 1ro. SECCION: 1ra. </t>
  </si>
  <si>
    <t xml:space="preserve">TURNO TARDE CURSO: 1ro. SECCION: 2da. </t>
  </si>
  <si>
    <t>LISTA DEFINITIVA- COLEGIO TECNICO NACIONAL DE LA CAPITAL / 2022</t>
  </si>
  <si>
    <t>FLORES PINEDA PAULA MARIA PAZ</t>
  </si>
  <si>
    <t>TORRES MARIN ENRIQUE DANIEL</t>
  </si>
  <si>
    <t>LOMBARDO GOMEZ WILLIAM DANIEL</t>
  </si>
  <si>
    <t>PIZZURNO DUARTE ALEXANDER EMANUEL</t>
  </si>
  <si>
    <t>ROJAS SAMUDIO JOAQUIN SEBASTIAN</t>
  </si>
  <si>
    <t>VILLASBOA VERON VICTOR ORLANDO</t>
  </si>
  <si>
    <t>SULBARAN ALVAREZ JOSE ANGEL</t>
  </si>
  <si>
    <t>ALVISO RAMOS HUGO EMANUEL</t>
  </si>
  <si>
    <t>AVALOS PINTOS SOL IVANNA</t>
  </si>
  <si>
    <t>BENITEZ RODRIGUEZ OSCAR FERNANDO</t>
  </si>
  <si>
    <t>MEDINA CACERES JOSIAS MISAEL</t>
  </si>
  <si>
    <t xml:space="preserve">ALONSO TORRES ANGEL RAMON </t>
  </si>
  <si>
    <t>IBARRA ALARCON FABRIZZIO MATIAS</t>
  </si>
  <si>
    <t>REYES GIMENEZ LUCAS VICENTE</t>
  </si>
  <si>
    <t>ROMERO AYALA NAHELI THAIS</t>
  </si>
  <si>
    <t>SILVERA ARCE TADEO</t>
  </si>
  <si>
    <t>HERMOSA WAGENER SEBASTIAN ALEXANDER</t>
  </si>
  <si>
    <t>NUÑEZ AMARILLA JAVIER JOSE</t>
  </si>
  <si>
    <t>LOBOS CABALLERO MIGUEL MATHIAS</t>
  </si>
  <si>
    <t>ACOSTA RUIZ DIAZ ANDRES BERNARDO</t>
  </si>
  <si>
    <t>CORTAZAR ROMERO JABES FABRIZIO</t>
  </si>
  <si>
    <t>SANCHEZ MERCADO AGUSTIN</t>
  </si>
  <si>
    <t>OLMEDO CARISIMO EMANUEL</t>
  </si>
  <si>
    <t>MEDINA GRILLON ESTEBAN DANIEL</t>
  </si>
  <si>
    <t>GINI TEJERA NICOLE</t>
  </si>
  <si>
    <t>RAMIREZ LEZCANO TATIANA BELEN</t>
  </si>
  <si>
    <t>TEIXIDO LOPEZ FONSECA ABIGAIL</t>
  </si>
  <si>
    <t>KLEINER SILVERO RODRIGO GABRIEL</t>
  </si>
  <si>
    <t>AQUINO NUÑEZ GUILLERMO ORLANDO</t>
  </si>
  <si>
    <t>GALEANO DUARTE ELIANE BELEN</t>
  </si>
  <si>
    <t>QUINTANA PEREIRA VANIA MIKAL</t>
  </si>
  <si>
    <t>SOSA PORTILLO MATIAS FABIAN</t>
  </si>
  <si>
    <t>GARCETE CANTERO ADAN JOSE</t>
  </si>
  <si>
    <t>ROJAS PARRIZ ALAN RODRIGO</t>
  </si>
  <si>
    <t>INSFRAN MOLINAS FRANCISCO</t>
  </si>
  <si>
    <t>DELEON REYES FABRICIO VALENTIN</t>
  </si>
  <si>
    <t>VERA FERNANDEZ SEM DAVID</t>
  </si>
  <si>
    <t>LOPEZ RAMIREZ FERNANDO DAVID</t>
  </si>
  <si>
    <t>CACERES PIEDRABUENA HUGO RAMON TADEO</t>
  </si>
  <si>
    <t>OCAMPO DELGADO OSCAR DAVID</t>
  </si>
  <si>
    <t>ORTEGA CANO ORLANDO MATIAS</t>
  </si>
  <si>
    <t>SANCHIZ VERA ALEXIS ARIEL</t>
  </si>
  <si>
    <t>TORRES GARCIA IRIS AZUCENA</t>
  </si>
  <si>
    <t>AQUINO RUIZ DIAZ ERNESTO DAMIAN</t>
  </si>
  <si>
    <t>GAMARRA DUARTE TOBIAS DANIEL</t>
  </si>
  <si>
    <t>TORRES SAMUDIO LOURDES CAROLINA</t>
  </si>
  <si>
    <t>BELLO ORTIZ CARLOS NOCOLAS</t>
  </si>
  <si>
    <t>RAMIREZ GRANCE JORGE FABIAN</t>
  </si>
  <si>
    <t>SAMUDIO BOGADO EDUARDO</t>
  </si>
  <si>
    <t>ROJAS QUINTANA CONSTANZO DAVID</t>
  </si>
  <si>
    <t>SOSA FRANCO JOSIAS ENMANUEL</t>
  </si>
  <si>
    <t>GUILLEN PRIETO ENZO SEBASTIAN</t>
  </si>
  <si>
    <t>ROMAN BARRETO RICARDO RAMON</t>
  </si>
  <si>
    <t>NUÑEZ AQUINO ELISEO FABIAN</t>
  </si>
  <si>
    <t>NOCEDA ROJAS IGNACIO GABRIEL</t>
  </si>
  <si>
    <t>BARBERAN ARMOA EMIGDIO SEBASTIAN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</si>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</sst>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 vertical="center" wrapText="1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7" xfId="1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9" workbookViewId="0">
      <selection sqref="A1:K1"/>
    </sheetView>
  </sheetViews>
  <sheetFormatPr baseColWidth="10" defaultRowHeight="15"/>
  <cols>
    <col min="1" max="1" width="3.7109375" bestFit="1" customWidth="1"/>
    <col min="2" max="2" width="42.85546875" customWidth="1"/>
    <col min="3" max="3" width="10.42578125" bestFit="1" customWidth="1"/>
    <col min="4" max="6" width="5.7109375" customWidth="1"/>
    <col min="7" max="11" width="6.7109375" customWidth="1"/>
  </cols>
  <sheetData>
    <row r="1" spans="1:11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3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35.1" customHeight="1">
      <c r="A6" s="24" t="s">
        <v>2</v>
      </c>
      <c r="B6" s="24" t="s">
        <v>3</v>
      </c>
      <c r="C6" s="25" t="s">
        <v>4</v>
      </c>
      <c r="D6" s="26" t="s">
        <v>5</v>
      </c>
      <c r="E6" s="26"/>
      <c r="F6" s="26"/>
      <c r="G6" s="15" t="s">
        <v>6</v>
      </c>
      <c r="H6" s="1" t="s">
        <v>7</v>
      </c>
      <c r="I6" s="1" t="s">
        <v>7</v>
      </c>
      <c r="J6" s="15" t="s">
        <v>8</v>
      </c>
      <c r="K6" s="15" t="s">
        <v>9</v>
      </c>
    </row>
    <row r="7" spans="1:11" ht="30" customHeight="1">
      <c r="A7" s="24"/>
      <c r="B7" s="24"/>
      <c r="C7" s="25"/>
      <c r="D7" s="8" t="s">
        <v>10</v>
      </c>
      <c r="E7" s="8" t="s">
        <v>11</v>
      </c>
      <c r="F7" s="8" t="s">
        <v>12</v>
      </c>
      <c r="G7" s="16"/>
      <c r="H7" s="7" t="s">
        <v>13</v>
      </c>
      <c r="I7" s="7" t="s">
        <v>14</v>
      </c>
      <c r="J7" s="16"/>
      <c r="K7" s="16"/>
    </row>
    <row r="8" spans="1:11">
      <c r="A8" s="17" t="s">
        <v>15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ht="23.1" customHeight="1">
      <c r="A9" s="14">
        <v>1</v>
      </c>
      <c r="B9" s="10" t="s">
        <v>38</v>
      </c>
      <c r="C9" s="11">
        <v>6167496</v>
      </c>
      <c r="D9" s="12">
        <v>15</v>
      </c>
      <c r="E9" s="12">
        <v>15</v>
      </c>
      <c r="F9" s="12">
        <v>13</v>
      </c>
      <c r="G9" s="13">
        <f t="shared" ref="G9:G36" si="2">SUM(D9:F9)*100/45*0.4</f>
        <v>38.222222222222221</v>
      </c>
      <c r="H9" s="13">
        <v>17</v>
      </c>
      <c r="I9" s="13">
        <v>19</v>
      </c>
      <c r="J9" s="13">
        <f t="shared" ref="J9:J36" si="3">SUM(H9:I9)</f>
        <v>36</v>
      </c>
      <c r="K9" s="13">
        <f t="shared" ref="K9:K36" si="4">G9+J9</f>
        <v>74.222222222222229</v>
      </c>
    </row>
    <row r="10" spans="1:11" ht="23.1" customHeight="1">
      <c r="A10" s="14">
        <v>2</v>
      </c>
      <c r="B10" s="10" t="s">
        <v>30</v>
      </c>
      <c r="C10" s="11">
        <v>8126285</v>
      </c>
      <c r="D10" s="12">
        <v>14</v>
      </c>
      <c r="E10" s="12">
        <v>11</v>
      </c>
      <c r="F10" s="12">
        <v>15</v>
      </c>
      <c r="G10" s="13">
        <f t="shared" si="2"/>
        <v>35.555555555555557</v>
      </c>
      <c r="H10" s="13">
        <v>22</v>
      </c>
      <c r="I10" s="13">
        <v>20</v>
      </c>
      <c r="J10" s="13">
        <f t="shared" si="3"/>
        <v>42</v>
      </c>
      <c r="K10" s="13">
        <f t="shared" si="4"/>
        <v>77.555555555555557</v>
      </c>
    </row>
    <row r="11" spans="1:11" ht="23.1" customHeight="1">
      <c r="A11" s="14">
        <v>3</v>
      </c>
      <c r="B11" s="10" t="s">
        <v>26</v>
      </c>
      <c r="C11" s="11">
        <v>6948415</v>
      </c>
      <c r="D11" s="12">
        <v>8</v>
      </c>
      <c r="E11" s="12">
        <v>10</v>
      </c>
      <c r="F11" s="12">
        <v>15</v>
      </c>
      <c r="G11" s="13">
        <f t="shared" si="2"/>
        <v>29.333333333333332</v>
      </c>
      <c r="H11" s="13">
        <v>27</v>
      </c>
      <c r="I11" s="13">
        <v>23</v>
      </c>
      <c r="J11" s="13">
        <f t="shared" si="3"/>
        <v>50</v>
      </c>
      <c r="K11" s="13">
        <f t="shared" si="4"/>
        <v>79.333333333333329</v>
      </c>
    </row>
    <row r="12" spans="1:11" ht="23.1" customHeight="1">
      <c r="A12" s="14">
        <v>4</v>
      </c>
      <c r="B12" s="10" t="s">
        <v>47</v>
      </c>
      <c r="C12" s="11">
        <v>5753806</v>
      </c>
      <c r="D12" s="12">
        <v>15</v>
      </c>
      <c r="E12" s="12">
        <v>15</v>
      </c>
      <c r="F12" s="12">
        <v>15</v>
      </c>
      <c r="G12" s="13">
        <f t="shared" si="2"/>
        <v>40</v>
      </c>
      <c r="H12" s="13">
        <v>14</v>
      </c>
      <c r="I12" s="13">
        <v>19</v>
      </c>
      <c r="J12" s="13">
        <f t="shared" si="3"/>
        <v>33</v>
      </c>
      <c r="K12" s="13">
        <f t="shared" si="4"/>
        <v>73</v>
      </c>
    </row>
    <row r="13" spans="1:11" ht="23.1" customHeight="1">
      <c r="A13" s="14">
        <v>5</v>
      </c>
      <c r="B13" s="10" t="s">
        <v>27</v>
      </c>
      <c r="C13" s="11">
        <v>6774563</v>
      </c>
      <c r="D13" s="12">
        <v>14</v>
      </c>
      <c r="E13" s="12">
        <v>15</v>
      </c>
      <c r="F13" s="12">
        <v>15</v>
      </c>
      <c r="G13" s="13">
        <f t="shared" si="2"/>
        <v>39.111111111111114</v>
      </c>
      <c r="H13" s="13">
        <v>17</v>
      </c>
      <c r="I13" s="13">
        <v>23</v>
      </c>
      <c r="J13" s="13">
        <f t="shared" si="3"/>
        <v>40</v>
      </c>
      <c r="K13" s="13">
        <f t="shared" si="4"/>
        <v>79.111111111111114</v>
      </c>
    </row>
    <row r="14" spans="1:11" ht="23.1" customHeight="1">
      <c r="A14" s="14">
        <v>6</v>
      </c>
      <c r="B14" s="10" t="s">
        <v>28</v>
      </c>
      <c r="C14" s="11">
        <v>6791783</v>
      </c>
      <c r="D14" s="12">
        <v>11</v>
      </c>
      <c r="E14" s="12">
        <v>10</v>
      </c>
      <c r="F14" s="12">
        <v>13</v>
      </c>
      <c r="G14" s="13">
        <f t="shared" si="2"/>
        <v>30.222222222222225</v>
      </c>
      <c r="H14" s="13">
        <v>23</v>
      </c>
      <c r="I14" s="13">
        <v>25</v>
      </c>
      <c r="J14" s="13">
        <f t="shared" si="3"/>
        <v>48</v>
      </c>
      <c r="K14" s="13">
        <f t="shared" si="4"/>
        <v>78.222222222222229</v>
      </c>
    </row>
    <row r="15" spans="1:11" ht="23.1" customHeight="1">
      <c r="A15" s="14">
        <v>7</v>
      </c>
      <c r="B15" s="10" t="s">
        <v>39</v>
      </c>
      <c r="C15" s="11">
        <v>5680289</v>
      </c>
      <c r="D15" s="12">
        <v>14</v>
      </c>
      <c r="E15" s="12">
        <v>15</v>
      </c>
      <c r="F15" s="12">
        <v>15</v>
      </c>
      <c r="G15" s="13">
        <f t="shared" si="2"/>
        <v>39.111111111111114</v>
      </c>
      <c r="H15" s="13">
        <v>15</v>
      </c>
      <c r="I15" s="13">
        <v>20</v>
      </c>
      <c r="J15" s="13">
        <f t="shared" si="3"/>
        <v>35</v>
      </c>
      <c r="K15" s="13">
        <f t="shared" si="4"/>
        <v>74.111111111111114</v>
      </c>
    </row>
    <row r="16" spans="1:11" ht="23.1" customHeight="1">
      <c r="A16" s="14">
        <v>8</v>
      </c>
      <c r="B16" s="10" t="s">
        <v>19</v>
      </c>
      <c r="C16" s="11">
        <v>6577845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28</v>
      </c>
      <c r="I16" s="13">
        <v>26</v>
      </c>
      <c r="J16" s="13">
        <f t="shared" si="3"/>
        <v>54</v>
      </c>
      <c r="K16" s="13">
        <f t="shared" si="4"/>
        <v>94</v>
      </c>
    </row>
    <row r="17" spans="1:11" ht="23.1" customHeight="1">
      <c r="A17" s="14">
        <v>9</v>
      </c>
      <c r="B17" s="10" t="s">
        <v>43</v>
      </c>
      <c r="C17" s="11">
        <v>5758722</v>
      </c>
      <c r="D17" s="12">
        <v>15</v>
      </c>
      <c r="E17" s="12">
        <v>15</v>
      </c>
      <c r="F17" s="12">
        <v>15</v>
      </c>
      <c r="G17" s="13">
        <f t="shared" si="2"/>
        <v>40</v>
      </c>
      <c r="H17" s="13">
        <v>12</v>
      </c>
      <c r="I17" s="13">
        <v>20</v>
      </c>
      <c r="J17" s="13">
        <f t="shared" si="3"/>
        <v>32</v>
      </c>
      <c r="K17" s="13">
        <f t="shared" si="4"/>
        <v>72</v>
      </c>
    </row>
    <row r="18" spans="1:11" ht="23.1" customHeight="1">
      <c r="A18" s="14">
        <v>10</v>
      </c>
      <c r="B18" s="10" t="s">
        <v>35</v>
      </c>
      <c r="C18" s="11">
        <v>5798027</v>
      </c>
      <c r="D18" s="12">
        <v>14</v>
      </c>
      <c r="E18" s="12">
        <v>15</v>
      </c>
      <c r="F18" s="12">
        <v>15</v>
      </c>
      <c r="G18" s="13">
        <f t="shared" si="2"/>
        <v>39.111111111111114</v>
      </c>
      <c r="H18" s="13">
        <v>23</v>
      </c>
      <c r="I18" s="13">
        <v>14</v>
      </c>
      <c r="J18" s="13">
        <f t="shared" si="3"/>
        <v>37</v>
      </c>
      <c r="K18" s="13">
        <f t="shared" si="4"/>
        <v>76.111111111111114</v>
      </c>
    </row>
    <row r="19" spans="1:11" ht="23.1" customHeight="1">
      <c r="A19" s="14">
        <v>11</v>
      </c>
      <c r="B19" s="10" t="s">
        <v>31</v>
      </c>
      <c r="C19" s="11">
        <v>6011183</v>
      </c>
      <c r="D19" s="12">
        <v>13</v>
      </c>
      <c r="E19" s="12">
        <v>14</v>
      </c>
      <c r="F19" s="12">
        <v>15</v>
      </c>
      <c r="G19" s="13">
        <f t="shared" si="2"/>
        <v>37.333333333333336</v>
      </c>
      <c r="H19" s="13">
        <v>25</v>
      </c>
      <c r="I19" s="13">
        <v>14</v>
      </c>
      <c r="J19" s="13">
        <f t="shared" si="3"/>
        <v>39</v>
      </c>
      <c r="K19" s="13">
        <f t="shared" si="4"/>
        <v>76.333333333333343</v>
      </c>
    </row>
    <row r="20" spans="1:11" ht="23.1" customHeight="1">
      <c r="A20" s="14">
        <v>12</v>
      </c>
      <c r="B20" s="10" t="s">
        <v>37</v>
      </c>
      <c r="C20" s="11">
        <v>5976251</v>
      </c>
      <c r="D20" s="12">
        <v>15</v>
      </c>
      <c r="E20" s="12">
        <v>15</v>
      </c>
      <c r="F20" s="12">
        <v>15</v>
      </c>
      <c r="G20" s="13">
        <f t="shared" si="2"/>
        <v>40</v>
      </c>
      <c r="H20" s="13">
        <v>15</v>
      </c>
      <c r="I20" s="13">
        <v>20</v>
      </c>
      <c r="J20" s="13">
        <f t="shared" si="3"/>
        <v>35</v>
      </c>
      <c r="K20" s="13">
        <f t="shared" si="4"/>
        <v>75</v>
      </c>
    </row>
    <row r="21" spans="1:11" ht="23.1" customHeight="1">
      <c r="A21" s="14">
        <v>13</v>
      </c>
      <c r="B21" s="10" t="s">
        <v>21</v>
      </c>
      <c r="C21" s="11">
        <v>6604723</v>
      </c>
      <c r="D21" s="12">
        <v>15</v>
      </c>
      <c r="E21" s="12">
        <v>15</v>
      </c>
      <c r="F21" s="12">
        <v>15</v>
      </c>
      <c r="G21" s="13">
        <f t="shared" si="2"/>
        <v>40</v>
      </c>
      <c r="H21" s="13">
        <v>27</v>
      </c>
      <c r="I21" s="13">
        <v>18</v>
      </c>
      <c r="J21" s="13">
        <f t="shared" si="3"/>
        <v>45</v>
      </c>
      <c r="K21" s="13">
        <f t="shared" si="4"/>
        <v>85</v>
      </c>
    </row>
    <row r="22" spans="1:11" ht="23.1" customHeight="1">
      <c r="A22" s="14">
        <v>14</v>
      </c>
      <c r="B22" s="10" t="s">
        <v>29</v>
      </c>
      <c r="C22" s="11">
        <v>5742035</v>
      </c>
      <c r="D22" s="12">
        <v>15</v>
      </c>
      <c r="E22" s="12">
        <v>15</v>
      </c>
      <c r="F22" s="12">
        <v>15</v>
      </c>
      <c r="G22" s="13">
        <f t="shared" si="2"/>
        <v>40</v>
      </c>
      <c r="H22" s="13">
        <v>17</v>
      </c>
      <c r="I22" s="13">
        <v>21</v>
      </c>
      <c r="J22" s="13">
        <f t="shared" si="3"/>
        <v>38</v>
      </c>
      <c r="K22" s="13">
        <f t="shared" si="4"/>
        <v>78</v>
      </c>
    </row>
    <row r="23" spans="1:11" ht="23.1" customHeight="1">
      <c r="A23" s="14">
        <v>15</v>
      </c>
      <c r="B23" s="10" t="s">
        <v>42</v>
      </c>
      <c r="C23" s="11">
        <v>5922580</v>
      </c>
      <c r="D23" s="12">
        <v>14</v>
      </c>
      <c r="E23" s="12">
        <v>15</v>
      </c>
      <c r="F23" s="12">
        <v>14</v>
      </c>
      <c r="G23" s="13">
        <f t="shared" si="2"/>
        <v>38.222222222222221</v>
      </c>
      <c r="H23" s="13">
        <v>18</v>
      </c>
      <c r="I23" s="13">
        <v>17</v>
      </c>
      <c r="J23" s="13">
        <f t="shared" si="3"/>
        <v>35</v>
      </c>
      <c r="K23" s="13">
        <f t="shared" si="4"/>
        <v>73.222222222222229</v>
      </c>
    </row>
    <row r="24" spans="1:11" ht="23.1" customHeight="1">
      <c r="A24" s="14">
        <v>16</v>
      </c>
      <c r="B24" s="10" t="s">
        <v>36</v>
      </c>
      <c r="C24" s="11">
        <v>6271934</v>
      </c>
      <c r="D24" s="12">
        <v>13</v>
      </c>
      <c r="E24" s="12">
        <v>15</v>
      </c>
      <c r="F24" s="12">
        <v>15</v>
      </c>
      <c r="G24" s="13">
        <f t="shared" si="2"/>
        <v>38.222222222222221</v>
      </c>
      <c r="H24" s="13">
        <v>20</v>
      </c>
      <c r="I24" s="13">
        <v>17</v>
      </c>
      <c r="J24" s="13">
        <f t="shared" si="3"/>
        <v>37</v>
      </c>
      <c r="K24" s="13">
        <f t="shared" si="4"/>
        <v>75.222222222222229</v>
      </c>
    </row>
    <row r="25" spans="1:11" ht="23.1" customHeight="1">
      <c r="A25" s="14">
        <v>17</v>
      </c>
      <c r="B25" s="10" t="s">
        <v>41</v>
      </c>
      <c r="C25" s="11">
        <v>6947865</v>
      </c>
      <c r="D25" s="12">
        <v>13</v>
      </c>
      <c r="E25" s="12">
        <v>13</v>
      </c>
      <c r="F25" s="12">
        <v>14</v>
      </c>
      <c r="G25" s="13">
        <f t="shared" si="2"/>
        <v>35.555555555555557</v>
      </c>
      <c r="H25" s="13">
        <v>19</v>
      </c>
      <c r="I25" s="13">
        <v>19</v>
      </c>
      <c r="J25" s="13">
        <f t="shared" si="3"/>
        <v>38</v>
      </c>
      <c r="K25" s="13">
        <f t="shared" si="4"/>
        <v>73.555555555555557</v>
      </c>
    </row>
    <row r="26" spans="1:11" ht="23.1" customHeight="1">
      <c r="A26" s="14">
        <v>18</v>
      </c>
      <c r="B26" s="10" t="s">
        <v>22</v>
      </c>
      <c r="C26" s="11">
        <v>5964176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16</v>
      </c>
      <c r="I26" s="13">
        <v>26</v>
      </c>
      <c r="J26" s="13">
        <f t="shared" si="3"/>
        <v>42</v>
      </c>
      <c r="K26" s="13">
        <f t="shared" si="4"/>
        <v>82</v>
      </c>
    </row>
    <row r="27" spans="1:11" ht="23.1" customHeight="1">
      <c r="A27" s="14">
        <v>19</v>
      </c>
      <c r="B27" s="10" t="s">
        <v>44</v>
      </c>
      <c r="C27" s="11">
        <v>5594796</v>
      </c>
      <c r="D27" s="12">
        <v>15</v>
      </c>
      <c r="E27" s="12">
        <v>14</v>
      </c>
      <c r="F27" s="12">
        <v>13</v>
      </c>
      <c r="G27" s="13">
        <f t="shared" si="2"/>
        <v>37.333333333333336</v>
      </c>
      <c r="H27" s="13">
        <v>17</v>
      </c>
      <c r="I27" s="13">
        <v>17</v>
      </c>
      <c r="J27" s="13">
        <f t="shared" si="3"/>
        <v>34</v>
      </c>
      <c r="K27" s="13">
        <f t="shared" si="4"/>
        <v>71.333333333333343</v>
      </c>
    </row>
    <row r="28" spans="1:11" ht="23.1" customHeight="1">
      <c r="A28" s="14">
        <v>20</v>
      </c>
      <c r="B28" s="10" t="s">
        <v>32</v>
      </c>
      <c r="C28" s="11">
        <v>5964815</v>
      </c>
      <c r="D28" s="12">
        <v>13</v>
      </c>
      <c r="E28" s="12">
        <v>15</v>
      </c>
      <c r="F28" s="12">
        <v>14</v>
      </c>
      <c r="G28" s="13">
        <f t="shared" si="2"/>
        <v>37.333333333333336</v>
      </c>
      <c r="H28" s="13">
        <v>19</v>
      </c>
      <c r="I28" s="13">
        <v>20</v>
      </c>
      <c r="J28" s="13">
        <f t="shared" si="3"/>
        <v>39</v>
      </c>
      <c r="K28" s="13">
        <f t="shared" si="4"/>
        <v>76.333333333333343</v>
      </c>
    </row>
    <row r="29" spans="1:11" ht="23.1" customHeight="1">
      <c r="A29" s="14">
        <v>21</v>
      </c>
      <c r="B29" s="10" t="s">
        <v>23</v>
      </c>
      <c r="C29" s="11">
        <v>5918388</v>
      </c>
      <c r="D29" s="12">
        <v>15</v>
      </c>
      <c r="E29" s="12">
        <v>15</v>
      </c>
      <c r="F29" s="12">
        <v>15</v>
      </c>
      <c r="G29" s="13">
        <f t="shared" si="2"/>
        <v>40</v>
      </c>
      <c r="H29" s="13">
        <v>20</v>
      </c>
      <c r="I29" s="13">
        <v>22</v>
      </c>
      <c r="J29" s="13">
        <f t="shared" si="3"/>
        <v>42</v>
      </c>
      <c r="K29" s="13">
        <f t="shared" si="4"/>
        <v>82</v>
      </c>
    </row>
    <row r="30" spans="1:11" ht="23.1" customHeight="1">
      <c r="A30" s="14">
        <v>22</v>
      </c>
      <c r="B30" s="10" t="s">
        <v>33</v>
      </c>
      <c r="C30" s="11">
        <v>6235248</v>
      </c>
      <c r="D30" s="12">
        <v>14</v>
      </c>
      <c r="E30" s="12">
        <v>14</v>
      </c>
      <c r="F30" s="12">
        <v>15</v>
      </c>
      <c r="G30" s="13">
        <f t="shared" si="2"/>
        <v>38.222222222222221</v>
      </c>
      <c r="H30" s="13">
        <v>16</v>
      </c>
      <c r="I30" s="13">
        <v>22</v>
      </c>
      <c r="J30" s="13">
        <f t="shared" si="3"/>
        <v>38</v>
      </c>
      <c r="K30" s="13">
        <f t="shared" si="4"/>
        <v>76.222222222222229</v>
      </c>
    </row>
    <row r="31" spans="1:11" ht="23.1" customHeight="1">
      <c r="A31" s="14">
        <v>23</v>
      </c>
      <c r="B31" s="10" t="s">
        <v>40</v>
      </c>
      <c r="C31" s="11">
        <v>5720662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14</v>
      </c>
      <c r="I31" s="13">
        <v>20</v>
      </c>
      <c r="J31" s="13">
        <f t="shared" si="3"/>
        <v>34</v>
      </c>
      <c r="K31" s="13">
        <f t="shared" si="4"/>
        <v>74</v>
      </c>
    </row>
    <row r="32" spans="1:11" ht="23.1" customHeight="1">
      <c r="A32" s="14">
        <v>24</v>
      </c>
      <c r="B32" s="10" t="s">
        <v>34</v>
      </c>
      <c r="C32" s="11">
        <v>6194282</v>
      </c>
      <c r="D32" s="12">
        <v>15</v>
      </c>
      <c r="E32" s="12">
        <v>13</v>
      </c>
      <c r="F32" s="12">
        <v>15</v>
      </c>
      <c r="G32" s="13">
        <f t="shared" si="2"/>
        <v>38.222222222222221</v>
      </c>
      <c r="H32" s="13">
        <v>16</v>
      </c>
      <c r="I32" s="13">
        <v>22</v>
      </c>
      <c r="J32" s="13">
        <f t="shared" si="3"/>
        <v>38</v>
      </c>
      <c r="K32" s="13">
        <f t="shared" si="4"/>
        <v>76.222222222222229</v>
      </c>
    </row>
    <row r="33" spans="1:11" ht="23.1" customHeight="1">
      <c r="A33" s="14">
        <v>25</v>
      </c>
      <c r="B33" s="10" t="s">
        <v>25</v>
      </c>
      <c r="C33" s="11">
        <v>8681781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22</v>
      </c>
      <c r="I33" s="13">
        <v>18</v>
      </c>
      <c r="J33" s="13">
        <f t="shared" si="3"/>
        <v>40</v>
      </c>
      <c r="K33" s="13">
        <f t="shared" si="4"/>
        <v>80</v>
      </c>
    </row>
    <row r="34" spans="1:11" ht="23.1" customHeight="1">
      <c r="A34" s="14">
        <v>26</v>
      </c>
      <c r="B34" s="10" t="s">
        <v>45</v>
      </c>
      <c r="C34" s="11">
        <v>5933046</v>
      </c>
      <c r="D34" s="12">
        <v>14</v>
      </c>
      <c r="E34" s="12">
        <v>14</v>
      </c>
      <c r="F34" s="12">
        <v>15</v>
      </c>
      <c r="G34" s="13">
        <f t="shared" si="2"/>
        <v>38.222222222222221</v>
      </c>
      <c r="H34" s="13">
        <v>13</v>
      </c>
      <c r="I34" s="13">
        <v>20</v>
      </c>
      <c r="J34" s="13">
        <f t="shared" si="3"/>
        <v>33</v>
      </c>
      <c r="K34" s="13">
        <f t="shared" si="4"/>
        <v>71.222222222222229</v>
      </c>
    </row>
    <row r="35" spans="1:11" ht="23.1" customHeight="1">
      <c r="A35" s="14">
        <v>27</v>
      </c>
      <c r="B35" s="10" t="s">
        <v>20</v>
      </c>
      <c r="C35" s="11">
        <v>5933771</v>
      </c>
      <c r="D35" s="12">
        <v>15</v>
      </c>
      <c r="E35" s="12">
        <v>15</v>
      </c>
      <c r="F35" s="12">
        <v>15</v>
      </c>
      <c r="G35" s="13">
        <f t="shared" si="2"/>
        <v>40</v>
      </c>
      <c r="H35" s="13">
        <v>22</v>
      </c>
      <c r="I35" s="13">
        <v>27</v>
      </c>
      <c r="J35" s="13">
        <f t="shared" si="3"/>
        <v>49</v>
      </c>
      <c r="K35" s="13">
        <f t="shared" si="4"/>
        <v>89</v>
      </c>
    </row>
    <row r="36" spans="1:11" s="9" customFormat="1" ht="23.1" customHeight="1">
      <c r="A36" s="14">
        <v>28</v>
      </c>
      <c r="B36" s="10" t="s">
        <v>24</v>
      </c>
      <c r="C36" s="11">
        <v>6546539</v>
      </c>
      <c r="D36" s="12">
        <v>14</v>
      </c>
      <c r="E36" s="12">
        <v>15</v>
      </c>
      <c r="F36" s="12">
        <v>14</v>
      </c>
      <c r="G36" s="13">
        <f t="shared" si="2"/>
        <v>38.222222222222221</v>
      </c>
      <c r="H36" s="13">
        <v>21</v>
      </c>
      <c r="I36" s="13">
        <v>22</v>
      </c>
      <c r="J36" s="13">
        <f t="shared" si="3"/>
        <v>43</v>
      </c>
      <c r="K36" s="13">
        <f t="shared" si="4"/>
        <v>81.222222222222229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sqref="A1:K1"/>
    </sheetView>
  </sheetViews>
  <sheetFormatPr baseColWidth="10" defaultRowHeight="15"/>
  <cols>
    <col min="1" max="1" width="4.85546875" bestFit="1" customWidth="1"/>
    <col min="2" max="2" width="45.85546875" customWidth="1"/>
    <col min="3" max="3" width="9.42578125" customWidth="1"/>
    <col min="4" max="6" width="5.7109375" customWidth="1"/>
    <col min="7" max="11" width="6.7109375" customWidth="1"/>
  </cols>
  <sheetData>
    <row r="1" spans="1:11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7" t="s">
        <v>17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35.1" customHeight="1">
      <c r="A6" s="24" t="s">
        <v>2</v>
      </c>
      <c r="B6" s="24" t="s">
        <v>3</v>
      </c>
      <c r="C6" s="25" t="s">
        <v>4</v>
      </c>
      <c r="D6" s="26" t="s">
        <v>5</v>
      </c>
      <c r="E6" s="26"/>
      <c r="F6" s="26"/>
      <c r="G6" s="15" t="s">
        <v>6</v>
      </c>
      <c r="H6" s="1" t="s">
        <v>7</v>
      </c>
      <c r="I6" s="1" t="s">
        <v>7</v>
      </c>
      <c r="J6" s="15" t="s">
        <v>8</v>
      </c>
      <c r="K6" s="15" t="s">
        <v>9</v>
      </c>
    </row>
    <row r="7" spans="1:11" ht="30" customHeight="1">
      <c r="A7" s="24"/>
      <c r="B7" s="24"/>
      <c r="C7" s="25"/>
      <c r="D7" s="6" t="s">
        <v>10</v>
      </c>
      <c r="E7" s="6" t="s">
        <v>11</v>
      </c>
      <c r="F7" s="6" t="s">
        <v>12</v>
      </c>
      <c r="G7" s="16"/>
      <c r="H7" s="5" t="s">
        <v>13</v>
      </c>
      <c r="I7" s="5" t="s">
        <v>14</v>
      </c>
      <c r="J7" s="16"/>
      <c r="K7" s="16"/>
    </row>
    <row r="8" spans="1:11">
      <c r="A8" s="17" t="s">
        <v>15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9" customFormat="1" ht="23.1" customHeight="1">
      <c r="A9" s="14">
        <v>1</v>
      </c>
      <c r="B9" s="10" t="s">
        <v>62</v>
      </c>
      <c r="C9" s="11">
        <v>5812627</v>
      </c>
      <c r="D9" s="12">
        <v>15</v>
      </c>
      <c r="E9" s="12">
        <v>11</v>
      </c>
      <c r="F9" s="12">
        <v>13</v>
      </c>
      <c r="G9" s="13">
        <f t="shared" ref="G9:G36" si="2">SUM(D9:F9)*100/45*0.4</f>
        <v>34.666666666666671</v>
      </c>
      <c r="H9" s="13">
        <v>15</v>
      </c>
      <c r="I9" s="13">
        <v>17</v>
      </c>
      <c r="J9" s="13">
        <f t="shared" ref="J9:J36" si="3">SUM(H9:I9)</f>
        <v>32</v>
      </c>
      <c r="K9" s="13">
        <f t="shared" ref="K9:K36" si="4">G9+J9</f>
        <v>66.666666666666671</v>
      </c>
    </row>
    <row r="10" spans="1:11" s="9" customFormat="1" ht="23.1" customHeight="1">
      <c r="A10" s="14">
        <v>2</v>
      </c>
      <c r="B10" s="10" t="s">
        <v>74</v>
      </c>
      <c r="C10" s="11">
        <v>6543351</v>
      </c>
      <c r="D10" s="12">
        <v>14</v>
      </c>
      <c r="E10" s="12">
        <v>8</v>
      </c>
      <c r="F10" s="12">
        <v>15</v>
      </c>
      <c r="G10" s="13">
        <f t="shared" si="2"/>
        <v>32.888888888888893</v>
      </c>
      <c r="H10" s="13">
        <v>9</v>
      </c>
      <c r="I10" s="13">
        <v>21</v>
      </c>
      <c r="J10" s="13">
        <f t="shared" si="3"/>
        <v>30</v>
      </c>
      <c r="K10" s="13">
        <f t="shared" si="4"/>
        <v>62.888888888888893</v>
      </c>
    </row>
    <row r="11" spans="1:11" s="9" customFormat="1" ht="23.1" customHeight="1">
      <c r="A11" s="14">
        <v>3</v>
      </c>
      <c r="B11" s="10" t="s">
        <v>65</v>
      </c>
      <c r="C11" s="11">
        <v>6545965</v>
      </c>
      <c r="D11" s="12">
        <v>10</v>
      </c>
      <c r="E11" s="12">
        <v>14</v>
      </c>
      <c r="F11" s="12">
        <v>13</v>
      </c>
      <c r="G11" s="13">
        <f t="shared" si="2"/>
        <v>32.888888888888893</v>
      </c>
      <c r="H11" s="13">
        <v>17</v>
      </c>
      <c r="I11" s="13">
        <v>16</v>
      </c>
      <c r="J11" s="13">
        <f t="shared" si="3"/>
        <v>33</v>
      </c>
      <c r="K11" s="13">
        <f t="shared" si="4"/>
        <v>65.888888888888886</v>
      </c>
    </row>
    <row r="12" spans="1:11" s="9" customFormat="1" ht="23.1" customHeight="1">
      <c r="A12" s="14">
        <v>4</v>
      </c>
      <c r="B12" s="10" t="s">
        <v>57</v>
      </c>
      <c r="C12" s="11">
        <v>5934703</v>
      </c>
      <c r="D12" s="12">
        <v>10</v>
      </c>
      <c r="E12" s="12">
        <v>14</v>
      </c>
      <c r="F12" s="12">
        <v>15</v>
      </c>
      <c r="G12" s="13">
        <f t="shared" si="2"/>
        <v>34.666666666666671</v>
      </c>
      <c r="H12" s="13">
        <v>12</v>
      </c>
      <c r="I12" s="13">
        <v>21</v>
      </c>
      <c r="J12" s="13">
        <f t="shared" si="3"/>
        <v>33</v>
      </c>
      <c r="K12" s="13">
        <f t="shared" si="4"/>
        <v>67.666666666666671</v>
      </c>
    </row>
    <row r="13" spans="1:11" s="9" customFormat="1" ht="23.1" customHeight="1">
      <c r="A13" s="14">
        <v>5</v>
      </c>
      <c r="B13" s="10" t="s">
        <v>54</v>
      </c>
      <c r="C13" s="11">
        <v>6897606</v>
      </c>
      <c r="D13" s="12">
        <v>15</v>
      </c>
      <c r="E13" s="12">
        <v>15</v>
      </c>
      <c r="F13" s="12">
        <v>14</v>
      </c>
      <c r="G13" s="13">
        <f t="shared" si="2"/>
        <v>39.111111111111114</v>
      </c>
      <c r="H13" s="13">
        <v>13</v>
      </c>
      <c r="I13" s="13">
        <v>16</v>
      </c>
      <c r="J13" s="13">
        <f t="shared" si="3"/>
        <v>29</v>
      </c>
      <c r="K13" s="13">
        <f t="shared" si="4"/>
        <v>68.111111111111114</v>
      </c>
    </row>
    <row r="14" spans="1:11" s="9" customFormat="1" ht="23.1" customHeight="1">
      <c r="A14" s="14">
        <v>6</v>
      </c>
      <c r="B14" s="10" t="s">
        <v>48</v>
      </c>
      <c r="C14" s="11">
        <v>5973937</v>
      </c>
      <c r="D14" s="12">
        <v>15</v>
      </c>
      <c r="E14" s="12">
        <v>15</v>
      </c>
      <c r="F14" s="12">
        <v>15</v>
      </c>
      <c r="G14" s="13">
        <f t="shared" si="2"/>
        <v>40</v>
      </c>
      <c r="H14" s="13">
        <v>10</v>
      </c>
      <c r="I14" s="13">
        <v>20</v>
      </c>
      <c r="J14" s="13">
        <f t="shared" si="3"/>
        <v>30</v>
      </c>
      <c r="K14" s="13">
        <f t="shared" si="4"/>
        <v>70</v>
      </c>
    </row>
    <row r="15" spans="1:11" s="9" customFormat="1" ht="23.1" customHeight="1">
      <c r="A15" s="14">
        <v>7</v>
      </c>
      <c r="B15" s="10" t="s">
        <v>63</v>
      </c>
      <c r="C15" s="11">
        <v>5962915</v>
      </c>
      <c r="D15" s="12">
        <v>15</v>
      </c>
      <c r="E15" s="12">
        <v>9</v>
      </c>
      <c r="F15" s="12">
        <v>11</v>
      </c>
      <c r="G15" s="13">
        <f t="shared" si="2"/>
        <v>31.111111111111111</v>
      </c>
      <c r="H15" s="13">
        <v>16</v>
      </c>
      <c r="I15" s="13">
        <v>19</v>
      </c>
      <c r="J15" s="13">
        <f t="shared" si="3"/>
        <v>35</v>
      </c>
      <c r="K15" s="13">
        <f t="shared" si="4"/>
        <v>66.111111111111114</v>
      </c>
    </row>
    <row r="16" spans="1:11" s="9" customFormat="1" ht="23.1" customHeight="1">
      <c r="A16" s="14">
        <v>8</v>
      </c>
      <c r="B16" s="10" t="s">
        <v>51</v>
      </c>
      <c r="C16" s="11">
        <v>6810893</v>
      </c>
      <c r="D16" s="12">
        <v>15</v>
      </c>
      <c r="E16" s="12">
        <v>11</v>
      </c>
      <c r="F16" s="12">
        <v>14</v>
      </c>
      <c r="G16" s="13">
        <f t="shared" si="2"/>
        <v>35.555555555555557</v>
      </c>
      <c r="H16" s="13">
        <v>14</v>
      </c>
      <c r="I16" s="13">
        <v>20</v>
      </c>
      <c r="J16" s="13">
        <f t="shared" si="3"/>
        <v>34</v>
      </c>
      <c r="K16" s="13">
        <f t="shared" si="4"/>
        <v>69.555555555555557</v>
      </c>
    </row>
    <row r="17" spans="1:11" s="9" customFormat="1" ht="23.1" customHeight="1">
      <c r="A17" s="14">
        <v>9</v>
      </c>
      <c r="B17" s="10" t="s">
        <v>70</v>
      </c>
      <c r="C17" s="11">
        <v>5812224</v>
      </c>
      <c r="D17" s="12">
        <v>10</v>
      </c>
      <c r="E17" s="12">
        <v>13</v>
      </c>
      <c r="F17" s="12">
        <v>15</v>
      </c>
      <c r="G17" s="13">
        <f t="shared" si="2"/>
        <v>33.777777777777779</v>
      </c>
      <c r="H17" s="13">
        <v>13</v>
      </c>
      <c r="I17" s="13">
        <v>18</v>
      </c>
      <c r="J17" s="13">
        <f t="shared" si="3"/>
        <v>31</v>
      </c>
      <c r="K17" s="13">
        <f t="shared" si="4"/>
        <v>64.777777777777771</v>
      </c>
    </row>
    <row r="18" spans="1:11" s="9" customFormat="1" ht="23.1" customHeight="1">
      <c r="A18" s="14">
        <v>10</v>
      </c>
      <c r="B18" s="10" t="s">
        <v>53</v>
      </c>
      <c r="C18" s="11">
        <v>5624109</v>
      </c>
      <c r="D18" s="12">
        <v>12</v>
      </c>
      <c r="E18" s="12">
        <v>15</v>
      </c>
      <c r="F18" s="12">
        <v>15</v>
      </c>
      <c r="G18" s="13">
        <f t="shared" si="2"/>
        <v>37.333333333333336</v>
      </c>
      <c r="H18" s="13">
        <v>15</v>
      </c>
      <c r="I18" s="13">
        <v>16</v>
      </c>
      <c r="J18" s="13">
        <f t="shared" si="3"/>
        <v>31</v>
      </c>
      <c r="K18" s="13">
        <f t="shared" si="4"/>
        <v>68.333333333333343</v>
      </c>
    </row>
    <row r="19" spans="1:11" s="9" customFormat="1" ht="23.1" customHeight="1">
      <c r="A19" s="14">
        <v>11</v>
      </c>
      <c r="B19" s="10" t="s">
        <v>46</v>
      </c>
      <c r="C19" s="11">
        <v>6738018</v>
      </c>
      <c r="D19" s="12">
        <v>15</v>
      </c>
      <c r="E19" s="12">
        <v>15</v>
      </c>
      <c r="F19" s="12">
        <v>15</v>
      </c>
      <c r="G19" s="13">
        <f t="shared" si="2"/>
        <v>40</v>
      </c>
      <c r="H19" s="13">
        <v>11</v>
      </c>
      <c r="I19" s="13">
        <v>20</v>
      </c>
      <c r="J19" s="13">
        <f t="shared" si="3"/>
        <v>31</v>
      </c>
      <c r="K19" s="13">
        <f t="shared" si="4"/>
        <v>71</v>
      </c>
    </row>
    <row r="20" spans="1:11" s="9" customFormat="1" ht="23.1" customHeight="1">
      <c r="A20" s="14">
        <v>12</v>
      </c>
      <c r="B20" s="10" t="s">
        <v>56</v>
      </c>
      <c r="C20" s="11">
        <v>5965679</v>
      </c>
      <c r="D20" s="12">
        <v>12</v>
      </c>
      <c r="E20" s="12">
        <v>12</v>
      </c>
      <c r="F20" s="12">
        <v>13</v>
      </c>
      <c r="G20" s="13">
        <f t="shared" si="2"/>
        <v>32.888888888888893</v>
      </c>
      <c r="H20" s="13">
        <v>17</v>
      </c>
      <c r="I20" s="13">
        <v>18</v>
      </c>
      <c r="J20" s="13">
        <f t="shared" si="3"/>
        <v>35</v>
      </c>
      <c r="K20" s="13">
        <f t="shared" si="4"/>
        <v>67.888888888888886</v>
      </c>
    </row>
    <row r="21" spans="1:11" s="9" customFormat="1" ht="23.1" customHeight="1">
      <c r="A21" s="14">
        <v>13</v>
      </c>
      <c r="B21" s="10" t="s">
        <v>73</v>
      </c>
      <c r="C21" s="11">
        <v>5964666</v>
      </c>
      <c r="D21" s="12">
        <v>15</v>
      </c>
      <c r="E21" s="12">
        <v>14</v>
      </c>
      <c r="F21" s="12">
        <v>15</v>
      </c>
      <c r="G21" s="13">
        <f t="shared" si="2"/>
        <v>39.111111111111114</v>
      </c>
      <c r="H21" s="13">
        <v>9</v>
      </c>
      <c r="I21" s="13">
        <v>15</v>
      </c>
      <c r="J21" s="13">
        <f t="shared" si="3"/>
        <v>24</v>
      </c>
      <c r="K21" s="13">
        <f t="shared" si="4"/>
        <v>63.111111111111114</v>
      </c>
    </row>
    <row r="22" spans="1:11" s="9" customFormat="1" ht="23.1" customHeight="1">
      <c r="A22" s="14">
        <v>14</v>
      </c>
      <c r="B22" s="10" t="s">
        <v>72</v>
      </c>
      <c r="C22" s="11">
        <v>6140124</v>
      </c>
      <c r="D22" s="12">
        <v>8</v>
      </c>
      <c r="E22" s="12">
        <v>13</v>
      </c>
      <c r="F22" s="12">
        <v>13</v>
      </c>
      <c r="G22" s="13">
        <f t="shared" si="2"/>
        <v>30.222222222222225</v>
      </c>
      <c r="H22" s="13">
        <v>17</v>
      </c>
      <c r="I22" s="13">
        <v>17</v>
      </c>
      <c r="J22" s="13">
        <f t="shared" si="3"/>
        <v>34</v>
      </c>
      <c r="K22" s="13">
        <f t="shared" si="4"/>
        <v>64.222222222222229</v>
      </c>
    </row>
    <row r="23" spans="1:11" s="9" customFormat="1" ht="23.1" customHeight="1">
      <c r="A23" s="14">
        <v>15</v>
      </c>
      <c r="B23" s="10" t="s">
        <v>58</v>
      </c>
      <c r="C23" s="11">
        <v>5879702</v>
      </c>
      <c r="D23" s="12">
        <v>15</v>
      </c>
      <c r="E23" s="12">
        <v>13</v>
      </c>
      <c r="F23" s="12">
        <v>14</v>
      </c>
      <c r="G23" s="13">
        <f t="shared" si="2"/>
        <v>37.333333333333336</v>
      </c>
      <c r="H23" s="13">
        <v>10</v>
      </c>
      <c r="I23" s="13">
        <v>20</v>
      </c>
      <c r="J23" s="13">
        <f t="shared" si="3"/>
        <v>30</v>
      </c>
      <c r="K23" s="13">
        <f t="shared" si="4"/>
        <v>67.333333333333343</v>
      </c>
    </row>
    <row r="24" spans="1:11" s="9" customFormat="1" ht="23.1" customHeight="1">
      <c r="A24" s="14">
        <v>16</v>
      </c>
      <c r="B24" s="10" t="s">
        <v>59</v>
      </c>
      <c r="C24" s="11">
        <v>5462148</v>
      </c>
      <c r="D24" s="12">
        <v>14</v>
      </c>
      <c r="E24" s="12">
        <v>15</v>
      </c>
      <c r="F24" s="12">
        <v>15</v>
      </c>
      <c r="G24" s="13">
        <f t="shared" si="2"/>
        <v>39.111111111111114</v>
      </c>
      <c r="H24" s="13">
        <v>10</v>
      </c>
      <c r="I24" s="13">
        <v>18</v>
      </c>
      <c r="J24" s="13">
        <f t="shared" si="3"/>
        <v>28</v>
      </c>
      <c r="K24" s="13">
        <f t="shared" si="4"/>
        <v>67.111111111111114</v>
      </c>
    </row>
    <row r="25" spans="1:11" s="9" customFormat="1" ht="23.1" customHeight="1">
      <c r="A25" s="14">
        <v>17</v>
      </c>
      <c r="B25" s="10" t="s">
        <v>49</v>
      </c>
      <c r="C25" s="11">
        <v>5685175</v>
      </c>
      <c r="D25" s="12">
        <v>15</v>
      </c>
      <c r="E25" s="12">
        <v>15</v>
      </c>
      <c r="F25" s="12">
        <v>15</v>
      </c>
      <c r="G25" s="13">
        <f t="shared" si="2"/>
        <v>40</v>
      </c>
      <c r="H25" s="13">
        <v>11</v>
      </c>
      <c r="I25" s="13">
        <v>19</v>
      </c>
      <c r="J25" s="13">
        <f t="shared" si="3"/>
        <v>30</v>
      </c>
      <c r="K25" s="13">
        <f t="shared" si="4"/>
        <v>70</v>
      </c>
    </row>
    <row r="26" spans="1:11" s="9" customFormat="1" ht="23.1" customHeight="1">
      <c r="A26" s="14">
        <v>18</v>
      </c>
      <c r="B26" s="10" t="s">
        <v>66</v>
      </c>
      <c r="C26" s="11">
        <v>5660937</v>
      </c>
      <c r="D26" s="12">
        <v>13</v>
      </c>
      <c r="E26" s="12">
        <v>12</v>
      </c>
      <c r="F26" s="12">
        <v>15</v>
      </c>
      <c r="G26" s="13">
        <f t="shared" si="2"/>
        <v>35.555555555555557</v>
      </c>
      <c r="H26" s="13">
        <v>15</v>
      </c>
      <c r="I26" s="13">
        <v>15</v>
      </c>
      <c r="J26" s="13">
        <f t="shared" si="3"/>
        <v>30</v>
      </c>
      <c r="K26" s="13">
        <f t="shared" si="4"/>
        <v>65.555555555555557</v>
      </c>
    </row>
    <row r="27" spans="1:11" s="9" customFormat="1" ht="23.1" customHeight="1">
      <c r="A27" s="14">
        <v>19</v>
      </c>
      <c r="B27" s="10" t="s">
        <v>52</v>
      </c>
      <c r="C27" s="11">
        <v>5699280</v>
      </c>
      <c r="D27" s="12">
        <v>10</v>
      </c>
      <c r="E27" s="12">
        <v>14</v>
      </c>
      <c r="F27" s="12">
        <v>15</v>
      </c>
      <c r="G27" s="13">
        <f t="shared" si="2"/>
        <v>34.666666666666671</v>
      </c>
      <c r="H27" s="13">
        <v>17</v>
      </c>
      <c r="I27" s="13">
        <v>17</v>
      </c>
      <c r="J27" s="13">
        <f t="shared" si="3"/>
        <v>34</v>
      </c>
      <c r="K27" s="13">
        <f t="shared" si="4"/>
        <v>68.666666666666671</v>
      </c>
    </row>
    <row r="28" spans="1:11" s="9" customFormat="1" ht="23.1" customHeight="1">
      <c r="A28" s="14">
        <v>20</v>
      </c>
      <c r="B28" s="10" t="s">
        <v>68</v>
      </c>
      <c r="C28" s="11">
        <v>5764921</v>
      </c>
      <c r="D28" s="12">
        <v>11</v>
      </c>
      <c r="E28" s="12">
        <v>15</v>
      </c>
      <c r="F28" s="12">
        <v>15</v>
      </c>
      <c r="G28" s="13">
        <f t="shared" si="2"/>
        <v>36.44444444444445</v>
      </c>
      <c r="H28" s="13">
        <v>12</v>
      </c>
      <c r="I28" s="13">
        <v>17</v>
      </c>
      <c r="J28" s="13">
        <f t="shared" si="3"/>
        <v>29</v>
      </c>
      <c r="K28" s="13">
        <f t="shared" si="4"/>
        <v>65.444444444444457</v>
      </c>
    </row>
    <row r="29" spans="1:11" s="9" customFormat="1" ht="23.1" customHeight="1">
      <c r="A29" s="14">
        <v>21</v>
      </c>
      <c r="B29" s="10" t="s">
        <v>71</v>
      </c>
      <c r="C29" s="11">
        <v>5857882</v>
      </c>
      <c r="D29" s="12">
        <v>13</v>
      </c>
      <c r="E29" s="12">
        <v>15</v>
      </c>
      <c r="F29" s="12">
        <v>12</v>
      </c>
      <c r="G29" s="13">
        <f t="shared" si="2"/>
        <v>35.555555555555557</v>
      </c>
      <c r="H29" s="13">
        <v>10</v>
      </c>
      <c r="I29" s="13">
        <v>19</v>
      </c>
      <c r="J29" s="13">
        <f t="shared" si="3"/>
        <v>29</v>
      </c>
      <c r="K29" s="13">
        <f t="shared" si="4"/>
        <v>64.555555555555557</v>
      </c>
    </row>
    <row r="30" spans="1:11" s="9" customFormat="1" ht="23.1" customHeight="1">
      <c r="A30" s="14">
        <v>22</v>
      </c>
      <c r="B30" s="10" t="s">
        <v>67</v>
      </c>
      <c r="C30" s="11">
        <v>7027122</v>
      </c>
      <c r="D30" s="12">
        <v>12</v>
      </c>
      <c r="E30" s="12">
        <v>13</v>
      </c>
      <c r="F30" s="12">
        <v>15</v>
      </c>
      <c r="G30" s="13">
        <f t="shared" si="2"/>
        <v>35.555555555555557</v>
      </c>
      <c r="H30" s="13">
        <v>14</v>
      </c>
      <c r="I30" s="13">
        <v>16</v>
      </c>
      <c r="J30" s="13">
        <f t="shared" si="3"/>
        <v>30</v>
      </c>
      <c r="K30" s="13">
        <f t="shared" si="4"/>
        <v>65.555555555555557</v>
      </c>
    </row>
    <row r="31" spans="1:11" s="9" customFormat="1" ht="23.1" customHeight="1">
      <c r="A31" s="14">
        <v>23</v>
      </c>
      <c r="B31" s="10" t="s">
        <v>60</v>
      </c>
      <c r="C31" s="11">
        <v>5861473</v>
      </c>
      <c r="D31" s="12">
        <v>14</v>
      </c>
      <c r="E31" s="12">
        <v>15</v>
      </c>
      <c r="F31" s="12">
        <v>15</v>
      </c>
      <c r="G31" s="13">
        <f t="shared" si="2"/>
        <v>39.111111111111114</v>
      </c>
      <c r="H31" s="13">
        <v>11</v>
      </c>
      <c r="I31" s="13">
        <v>17</v>
      </c>
      <c r="J31" s="13">
        <f t="shared" si="3"/>
        <v>28</v>
      </c>
      <c r="K31" s="13">
        <f t="shared" si="4"/>
        <v>67.111111111111114</v>
      </c>
    </row>
    <row r="32" spans="1:11" s="9" customFormat="1" ht="23.1" customHeight="1">
      <c r="A32" s="14">
        <v>24</v>
      </c>
      <c r="B32" s="10" t="s">
        <v>69</v>
      </c>
      <c r="C32" s="11">
        <v>6247096</v>
      </c>
      <c r="D32" s="12">
        <v>13</v>
      </c>
      <c r="E32" s="12">
        <v>9</v>
      </c>
      <c r="F32" s="12">
        <v>15</v>
      </c>
      <c r="G32" s="13">
        <f t="shared" si="2"/>
        <v>32.888888888888893</v>
      </c>
      <c r="H32" s="13">
        <v>15</v>
      </c>
      <c r="I32" s="13">
        <v>17</v>
      </c>
      <c r="J32" s="13">
        <f t="shared" si="3"/>
        <v>32</v>
      </c>
      <c r="K32" s="13">
        <f t="shared" si="4"/>
        <v>64.888888888888886</v>
      </c>
    </row>
    <row r="33" spans="1:11" s="9" customFormat="1" ht="23.1" customHeight="1">
      <c r="A33" s="14">
        <v>25</v>
      </c>
      <c r="B33" s="10" t="s">
        <v>50</v>
      </c>
      <c r="C33" s="11">
        <v>6601641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13</v>
      </c>
      <c r="I33" s="13">
        <v>17</v>
      </c>
      <c r="J33" s="13">
        <f t="shared" si="3"/>
        <v>30</v>
      </c>
      <c r="K33" s="13">
        <f t="shared" si="4"/>
        <v>70</v>
      </c>
    </row>
    <row r="34" spans="1:11" s="9" customFormat="1" ht="23.1" customHeight="1">
      <c r="A34" s="14">
        <v>26</v>
      </c>
      <c r="B34" s="10" t="s">
        <v>61</v>
      </c>
      <c r="C34" s="11">
        <v>6953471</v>
      </c>
      <c r="D34" s="12">
        <v>15</v>
      </c>
      <c r="E34" s="12">
        <v>15</v>
      </c>
      <c r="F34" s="12">
        <v>15</v>
      </c>
      <c r="G34" s="13">
        <f t="shared" si="2"/>
        <v>40</v>
      </c>
      <c r="H34" s="13">
        <v>6</v>
      </c>
      <c r="I34" s="13">
        <v>21</v>
      </c>
      <c r="J34" s="13">
        <f t="shared" si="3"/>
        <v>27</v>
      </c>
      <c r="K34" s="13">
        <f t="shared" si="4"/>
        <v>67</v>
      </c>
    </row>
    <row r="35" spans="1:11" s="9" customFormat="1" ht="23.1" customHeight="1">
      <c r="A35" s="14">
        <v>27</v>
      </c>
      <c r="B35" s="10" t="s">
        <v>64</v>
      </c>
      <c r="C35" s="11">
        <v>5936888</v>
      </c>
      <c r="D35" s="12">
        <v>15</v>
      </c>
      <c r="E35" s="12">
        <v>15</v>
      </c>
      <c r="F35" s="12">
        <v>15</v>
      </c>
      <c r="G35" s="13">
        <f t="shared" si="2"/>
        <v>40</v>
      </c>
      <c r="H35" s="13">
        <v>10</v>
      </c>
      <c r="I35" s="13">
        <v>16</v>
      </c>
      <c r="J35" s="13">
        <f t="shared" si="3"/>
        <v>26</v>
      </c>
      <c r="K35" s="13">
        <f t="shared" si="4"/>
        <v>66</v>
      </c>
    </row>
    <row r="36" spans="1:11" s="9" customFormat="1" ht="23.1" customHeight="1">
      <c r="A36" s="14">
        <v>28</v>
      </c>
      <c r="B36" s="10" t="s">
        <v>55</v>
      </c>
      <c r="C36" s="11">
        <v>6117449</v>
      </c>
      <c r="D36" s="12">
        <v>15</v>
      </c>
      <c r="E36" s="12">
        <v>14</v>
      </c>
      <c r="F36" s="12">
        <v>15</v>
      </c>
      <c r="G36" s="13">
        <f t="shared" si="2"/>
        <v>39.111111111111114</v>
      </c>
      <c r="H36" s="13">
        <v>12</v>
      </c>
      <c r="I36" s="13">
        <v>17</v>
      </c>
      <c r="J36" s="13">
        <f t="shared" si="3"/>
        <v>29</v>
      </c>
      <c r="K36" s="13">
        <f t="shared" si="4"/>
        <v>68.111111111111114</v>
      </c>
    </row>
    <row r="37" spans="1:11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>
      <c r="B38" s="9"/>
      <c r="C38" s="9"/>
      <c r="D38" s="9"/>
      <c r="E38" s="9"/>
      <c r="F38" s="9"/>
      <c r="G38" s="9"/>
      <c r="H38" s="9"/>
      <c r="I38" s="9"/>
      <c r="J38" s="9"/>
      <c r="K38" s="9"/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EMCA (1)</vt:lpstr>
      <vt:lpstr>EMCA(2)</vt:lpstr>
      <vt:lpstr>'EMCA (1)'!Títulos_a_imprimir</vt:lpstr>
      <vt:lpstr>'EMCA(2)'!Títulos_a_imprimir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2022-02-21T22:32:09Z</dcterms:modified>
</cp:coreProperties>
</file>