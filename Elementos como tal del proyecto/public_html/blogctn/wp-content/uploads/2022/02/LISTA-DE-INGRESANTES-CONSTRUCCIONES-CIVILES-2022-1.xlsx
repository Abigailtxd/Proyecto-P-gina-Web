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 activeTab="2"/>
  </bookViews>
  <sheets>
    <sheet name="CC (1)" sheetId="60" r:id="rId1"/>
    <sheet name="CC (2)" sheetId="59" r:id="rId2"/>
    <sheet name="CC(3)" sheetId="37" r:id="rId3"/>
  </sheets>
  <definedNames>
    <definedName name="_xlnm.Print_Titles" localSheetId="0">'CC (1)'!$1:$8</definedName>
    <definedName name="_xlnm.Print_Titles" localSheetId="1">'CC (2)'!$1:$8</definedName>
    <definedName name="_xlnm.Print_Titles" localSheetId="2">'CC(3)'!$1:$8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9" i="59" l="1"/>
  <c r="G9" i="59"/>
  <c r="J36" i="59"/>
  <c r="G36" i="59"/>
  <c r="K36" i="59" s="1"/>
  <c r="J23" i="59"/>
  <c r="G23" i="59"/>
  <c r="J35" i="59"/>
  <c r="G35" i="59"/>
  <c r="K35" i="59" s="1"/>
  <c r="J26" i="59"/>
  <c r="G26" i="59"/>
  <c r="J34" i="59"/>
  <c r="G34" i="59"/>
  <c r="K34" i="59" s="1"/>
  <c r="J29" i="59"/>
  <c r="G29" i="59"/>
  <c r="J24" i="59"/>
  <c r="G24" i="59"/>
  <c r="K24" i="59" s="1"/>
  <c r="J21" i="59"/>
  <c r="G21" i="59"/>
  <c r="J11" i="59"/>
  <c r="G11" i="59"/>
  <c r="K11" i="59" s="1"/>
  <c r="J10" i="59"/>
  <c r="G10" i="59"/>
  <c r="J22" i="59"/>
  <c r="G22" i="59"/>
  <c r="K22" i="59" s="1"/>
  <c r="J18" i="59"/>
  <c r="G18" i="59"/>
  <c r="J28" i="59"/>
  <c r="G28" i="59"/>
  <c r="K28" i="59" s="1"/>
  <c r="J15" i="59"/>
  <c r="G15" i="59"/>
  <c r="J14" i="59"/>
  <c r="G14" i="59"/>
  <c r="K14" i="59" s="1"/>
  <c r="J30" i="59"/>
  <c r="G30" i="59"/>
  <c r="J25" i="59"/>
  <c r="G25" i="59"/>
  <c r="K25" i="59" s="1"/>
  <c r="J19" i="59"/>
  <c r="G19" i="59"/>
  <c r="J17" i="59"/>
  <c r="G17" i="59"/>
  <c r="K17" i="59" s="1"/>
  <c r="J13" i="59"/>
  <c r="G13" i="59"/>
  <c r="J33" i="59"/>
  <c r="G33" i="59"/>
  <c r="K33" i="59" s="1"/>
  <c r="J31" i="59"/>
  <c r="G31" i="59"/>
  <c r="J12" i="59"/>
  <c r="G12" i="59"/>
  <c r="K12" i="59" s="1"/>
  <c r="J27" i="59"/>
  <c r="G27" i="59"/>
  <c r="J16" i="59"/>
  <c r="G16" i="59"/>
  <c r="K16" i="59" s="1"/>
  <c r="J20" i="59"/>
  <c r="G20" i="59"/>
  <c r="J32" i="59"/>
  <c r="G32" i="59"/>
  <c r="K32" i="59" s="1"/>
  <c r="J25" i="37"/>
  <c r="G25" i="37"/>
  <c r="K25" i="37" s="1"/>
  <c r="J21" i="37"/>
  <c r="G21" i="37"/>
  <c r="K21" i="37" s="1"/>
  <c r="J36" i="37"/>
  <c r="G36" i="37"/>
  <c r="K36" i="37" s="1"/>
  <c r="J22" i="37"/>
  <c r="G22" i="37"/>
  <c r="K22" i="37" s="1"/>
  <c r="J16" i="37"/>
  <c r="G16" i="37"/>
  <c r="K16" i="37" s="1"/>
  <c r="J28" i="37"/>
  <c r="G28" i="37"/>
  <c r="K28" i="37" s="1"/>
  <c r="J33" i="37"/>
  <c r="G33" i="37"/>
  <c r="K33" i="37" s="1"/>
  <c r="J20" i="37"/>
  <c r="G20" i="37"/>
  <c r="K20" i="37" s="1"/>
  <c r="J12" i="37"/>
  <c r="G12" i="37"/>
  <c r="K12" i="37" s="1"/>
  <c r="J29" i="37"/>
  <c r="G29" i="37"/>
  <c r="K29" i="37" s="1"/>
  <c r="J34" i="37"/>
  <c r="G34" i="37"/>
  <c r="K34" i="37" s="1"/>
  <c r="J23" i="37"/>
  <c r="G23" i="37"/>
  <c r="K23" i="37" s="1"/>
  <c r="J17" i="37"/>
  <c r="G17" i="37"/>
  <c r="K17" i="37" s="1"/>
  <c r="J35" i="37"/>
  <c r="G35" i="37"/>
  <c r="K35" i="37" s="1"/>
  <c r="J14" i="37"/>
  <c r="G14" i="37"/>
  <c r="K14" i="37" s="1"/>
  <c r="J10" i="37"/>
  <c r="G10" i="37"/>
  <c r="K10" i="37" s="1"/>
  <c r="J26" i="37"/>
  <c r="G26" i="37"/>
  <c r="K26" i="37" s="1"/>
  <c r="J18" i="37"/>
  <c r="G18" i="37"/>
  <c r="K18" i="37" s="1"/>
  <c r="J11" i="37"/>
  <c r="G11" i="37"/>
  <c r="K11" i="37" s="1"/>
  <c r="J15" i="37"/>
  <c r="G15" i="37"/>
  <c r="K15" i="37" s="1"/>
  <c r="J30" i="37"/>
  <c r="G30" i="37"/>
  <c r="K30" i="37" s="1"/>
  <c r="J13" i="37"/>
  <c r="G13" i="37"/>
  <c r="K13" i="37" s="1"/>
  <c r="J31" i="37"/>
  <c r="G31" i="37"/>
  <c r="K31" i="37" s="1"/>
  <c r="J24" i="37"/>
  <c r="G24" i="37"/>
  <c r="K24" i="37" s="1"/>
  <c r="J19" i="37"/>
  <c r="G19" i="37"/>
  <c r="K19" i="37" s="1"/>
  <c r="J9" i="37"/>
  <c r="G9" i="37"/>
  <c r="K9" i="37" s="1"/>
  <c r="J27" i="37"/>
  <c r="G27" i="37"/>
  <c r="K27" i="37" s="1"/>
  <c r="J32" i="37"/>
  <c r="G32" i="37"/>
  <c r="K32" i="37" s="1"/>
  <c r="J26" i="60"/>
  <c r="G26" i="60"/>
  <c r="J16" i="60"/>
  <c r="G16" i="60"/>
  <c r="J30" i="60"/>
  <c r="G30" i="60"/>
  <c r="J29" i="60"/>
  <c r="G29" i="60"/>
  <c r="J33" i="60"/>
  <c r="G33" i="60"/>
  <c r="J35" i="60"/>
  <c r="G35" i="60"/>
  <c r="J27" i="60"/>
  <c r="G27" i="60"/>
  <c r="J20" i="60"/>
  <c r="G20" i="60"/>
  <c r="J10" i="60"/>
  <c r="G10" i="60"/>
  <c r="J15" i="60"/>
  <c r="G15" i="60"/>
  <c r="J22" i="60"/>
  <c r="G22" i="60"/>
  <c r="J11" i="60"/>
  <c r="G11" i="60"/>
  <c r="J21" i="60"/>
  <c r="G21" i="60"/>
  <c r="J17" i="60"/>
  <c r="G17" i="60"/>
  <c r="J9" i="60"/>
  <c r="G9" i="60"/>
  <c r="J28" i="60"/>
  <c r="G28" i="60"/>
  <c r="J31" i="60"/>
  <c r="G31" i="60"/>
  <c r="J24" i="60"/>
  <c r="G24" i="60"/>
  <c r="J36" i="60"/>
  <c r="G36" i="60"/>
  <c r="J25" i="60"/>
  <c r="G25" i="60"/>
  <c r="J12" i="60"/>
  <c r="G12" i="60"/>
  <c r="J14" i="60"/>
  <c r="G14" i="60"/>
  <c r="J13" i="60"/>
  <c r="G13" i="60"/>
  <c r="J19" i="60"/>
  <c r="G19" i="60"/>
  <c r="J34" i="60"/>
  <c r="G34" i="60"/>
  <c r="J18" i="60"/>
  <c r="G18" i="60"/>
  <c r="J32" i="60"/>
  <c r="G32" i="60"/>
  <c r="J23" i="60"/>
  <c r="G23" i="60"/>
  <c r="K20" i="59" l="1"/>
  <c r="K27" i="59"/>
  <c r="K31" i="59"/>
  <c r="K13" i="59"/>
  <c r="K19" i="59"/>
  <c r="K30" i="59"/>
  <c r="K15" i="59"/>
  <c r="K18" i="59"/>
  <c r="K10" i="59"/>
  <c r="K21" i="59"/>
  <c r="K29" i="59"/>
  <c r="K26" i="59"/>
  <c r="K23" i="59"/>
  <c r="K9" i="59"/>
  <c r="K23" i="60"/>
  <c r="K32" i="60"/>
  <c r="K18" i="60"/>
  <c r="K34" i="60"/>
  <c r="K19" i="60"/>
  <c r="K13" i="60"/>
  <c r="K14" i="60"/>
  <c r="K12" i="60"/>
  <c r="K25" i="60"/>
  <c r="K36" i="60"/>
  <c r="K24" i="60"/>
  <c r="K31" i="60"/>
  <c r="K28" i="60"/>
  <c r="K9" i="60"/>
  <c r="K17" i="60"/>
  <c r="K21" i="60"/>
  <c r="K11" i="60"/>
  <c r="K22" i="60"/>
  <c r="K15" i="60"/>
  <c r="K10" i="60"/>
  <c r="K20" i="60"/>
  <c r="K27" i="60"/>
  <c r="K35" i="60"/>
  <c r="K33" i="60"/>
  <c r="K29" i="60"/>
  <c r="K30" i="60"/>
  <c r="K16" i="60"/>
  <c r="K26" i="60"/>
  <c r="J8" i="60"/>
  <c r="G8" i="60"/>
  <c r="J8" i="59"/>
  <c r="G8" i="59"/>
  <c r="J8" i="37"/>
  <c r="G8" i="37"/>
  <c r="K8" i="37" l="1"/>
  <c r="K8" i="60"/>
  <c r="K8" i="59"/>
</calcChain>
</file>

<file path=xl/sharedStrings.xml><?xml version="1.0" encoding="utf-8"?>
<sst xmlns="http://schemas.openxmlformats.org/spreadsheetml/2006/main" count="142" uniqueCount="106">
  <si>
    <t>MINISTERIO DE EDUCACION Y CULTURA</t>
  </si>
  <si>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</si>
  <si>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</si>
  <si>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</si>
  <si>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</si>
  <si>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</si>
  <si>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</si>
  <si>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</si>
  <si>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</si>
  <si>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</si>
  <si>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</si>
  <si>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</si>
  <si>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</si>
  <si>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</si>
  <si>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</si>
  <si>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</si>
  <si>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CONSTRUCCIONES CIVILES</t>
  </si>
  <si>
    <t>TURNO MAÑANA CURSO: 1ro. SECCION: 1ra.</t>
  </si>
  <si>
    <t>TURNO TARDE CURSO: 1ro. SECCION: 2da.</t>
  </si>
  <si>
    <t>TURNO TARDE CURSO: 1ro. SECCION: 3ra.</t>
  </si>
  <si>
    <t xml:space="preserve"> </t>
  </si>
  <si>
    <t>LISTA DEFINITIVA- COLEGIO TECNICO NACIONAL DE LA CAPITAL / 2022</t>
  </si>
  <si>
    <t>NAGELE PALACIOS TANIA MADAI</t>
  </si>
  <si>
    <t>SERVIN DORIA MIA ANABEL</t>
  </si>
  <si>
    <t>FRUTOS OVELAR ALEJANDRA GISELL</t>
  </si>
  <si>
    <t>VALLEJOS VILLAMAYOR VIVIANA VICTORIA</t>
  </si>
  <si>
    <t>GIMENEZ ORTIZ MARYAN CAMILA</t>
  </si>
  <si>
    <t>BENITEZ ROJAS GABRIELA MARIA</t>
  </si>
  <si>
    <t>BOGARIN MONTIEL EVELYN MARIA BELEN</t>
  </si>
  <si>
    <t>BAEZ ACOSTA RUT ESTER</t>
  </si>
  <si>
    <t>PERRONE QUINTANA THIARA CECILIA</t>
  </si>
  <si>
    <t>YANG CHEN YEN</t>
  </si>
  <si>
    <t>NUÑEZ SANCHEZ KRIZIA HIARA BETHANIA</t>
  </si>
  <si>
    <t>SALINAS GARCIA JOSIAS ABEL</t>
  </si>
  <si>
    <t>RODRIGUEZ VALLEJO LARISSA KARINA</t>
  </si>
  <si>
    <t>APONTE LOMBARDO MARIANA ALEJANDRA</t>
  </si>
  <si>
    <t>ESCOBAR DUARTE ANDREA BELEN</t>
  </si>
  <si>
    <t>MENDOZA ALDERETE MARCOS LEANDRO</t>
  </si>
  <si>
    <t>AYALA PINTOS ENZO NICOLAS</t>
  </si>
  <si>
    <t>MONTIEL DUARTE GUILLERMO NICOLAS</t>
  </si>
  <si>
    <t>CACERES MARTINEZ FIORELLA ANAHI</t>
  </si>
  <si>
    <t>AVALOS ESCOBAR MARIANO PAOLO</t>
  </si>
  <si>
    <t>GUISMARAES GOIRIS NAYELI MONTSERRATH</t>
  </si>
  <si>
    <t>RIVEROS AGUILERA LUNA ARACELI</t>
  </si>
  <si>
    <t>VILLALBA LEDESMA IVANA ARACELI</t>
  </si>
  <si>
    <t>SOTO PICO BENJAMIN EZEQUIEL</t>
  </si>
  <si>
    <t>ROMERO RECALDE JOSE MAURICIO</t>
  </si>
  <si>
    <t>RUIZ DIAZ BOGADO AILIN ARACELI</t>
  </si>
  <si>
    <t>CORNET RODRIGUEZ PAOLO SEBASTIAN</t>
  </si>
  <si>
    <t>RIQUELME FARIÑA GABRIELA MYLENE</t>
  </si>
  <si>
    <t>VAZQUEZ NOGUERA ELZEAR ULISES</t>
  </si>
  <si>
    <t>PONT JARA HERNANN ANDRES</t>
  </si>
  <si>
    <t>APESTEGUIA RAMIREZ CLARA JAZMIN</t>
  </si>
  <si>
    <t>GIOSA CARDOZO MILENA JAZMIN</t>
  </si>
  <si>
    <t>NAVARRO MARIN FATIMA AMELIE</t>
  </si>
  <si>
    <t>SAGUIER RAMOS LUANA MONSERRATH</t>
  </si>
  <si>
    <t>CABALLERO CABRERA EMANUEL JEREMIAS</t>
  </si>
  <si>
    <t>ROJAS RODRIGUEZ GIOVANNI SEBASTIAN</t>
  </si>
  <si>
    <t>COLMAN OPORTO GUSTAVO MOISES</t>
  </si>
  <si>
    <t>BAEZ LEGUIZAMON ERIKA GUADALUPE</t>
  </si>
  <si>
    <t xml:space="preserve">GARCIA ULIAMBRE GUSTAVO DAVID </t>
  </si>
  <si>
    <t>NUÑEZ MARTINEZ ANA PAULA</t>
  </si>
  <si>
    <t>ARGUELLO VILLORDO SARA LISSETTE</t>
  </si>
  <si>
    <t>COLINA AGÜERO ARTURO JAVIER</t>
  </si>
  <si>
    <t>VILLALBA BENITEZ PÁULA XIMENA</t>
  </si>
  <si>
    <t>FIGARI FERREIRA EVELYN DIANA</t>
  </si>
  <si>
    <t>LOPEZ NUÑEZ TOBIAS EZEQUIEL</t>
  </si>
  <si>
    <t>VILLALBA AMARILLA CHIARA MARIA CELESTE</t>
  </si>
  <si>
    <t>RIOS LOPEZ MARIEL</t>
  </si>
  <si>
    <t>BENITEZ OLMEDOS JAZMIN DIAMELA</t>
  </si>
  <si>
    <t>GONZALEZ QUIÑONEZ MARTIN ALEJANDRO</t>
  </si>
  <si>
    <t>VERA ARCE VICTOR JESUS</t>
  </si>
  <si>
    <t>RAMIREZ DUAETE ROCIO ALEJANDRA</t>
  </si>
  <si>
    <t>FERNANDEZ JARA LUCIA MARIA ISABEL</t>
  </si>
  <si>
    <t>LOPEZ FALCON GIOVANNI ELBER</t>
  </si>
  <si>
    <t>ZARATE FRANCO MARIA PAZ</t>
  </si>
  <si>
    <t>LOPEZ DUARTE ADRIANA MAGALI</t>
  </si>
  <si>
    <t>NUÑEZ GONZALEZ BELEN ABIGAIL</t>
  </si>
  <si>
    <t>SUAREZ VAZQUEZ GUIDO ARIEL</t>
  </si>
  <si>
    <t>LOPEZ BAREIRO MONSERRATH</t>
  </si>
  <si>
    <t>GONZALEZ SEGOVIA LUANA MARIA PAZ</t>
  </si>
  <si>
    <t>ROMAN SOSA AIDE NAHIRA</t>
  </si>
  <si>
    <t xml:space="preserve">CAÑIZA GOMEZ JUAN ANGEL </t>
  </si>
  <si>
    <t>SERVIN MARTINEZ XIMENA MARIA</t>
  </si>
  <si>
    <t>VALDEZ MARIA ALEJANDRA DE JESUS</t>
  </si>
  <si>
    <t>ESPINOLA MORALES ANDREA MICAELA</t>
  </si>
  <si>
    <t>GUZMAN GALEANO SOL GUADALUPE</t>
  </si>
  <si>
    <t>LEIVA SILVA JOHEMY NICOLE</t>
  </si>
  <si>
    <t>RAMOS ISIDRE ANA PAULA</t>
  </si>
  <si>
    <t xml:space="preserve">SEGOVIA ESCOBAR FERNANDO ANDRES </t>
  </si>
  <si>
    <t>FRETES OLMEDO MELANIE AMELI</t>
  </si>
  <si>
    <t>GARCETE ROMERO FABIANA MARIA</t>
  </si>
  <si>
    <t>ROMERO TESTI CESAR AMIN</t>
  </si>
  <si>
    <t>LEDESMA VERA SOFIA JACQUELINE</t>
  </si>
  <si>
    <t>MORALES MENDEZ AHIRTON SAID</t>
  </si>
  <si>
    <t>ALMIRON LOPEZ VICTORIA TATIANA</t>
  </si>
  <si>
    <t>CAMARASA COLMAN GABRIELA MARIA</t>
  </si>
  <si>
    <t>MARECO VILA LUCAS ISMAEL</t>
  </si>
  <si>
    <t>PENAYO LATERRA ELIANA ABIGAIL</t>
  </si>
  <si>
    <t>SANCHEZ CHAMORRO NATHALIA CAROLINA</t>
  </si>
  <si>
    <t>VICENSINI GODOY VALERIA ESTEFANIA</t>
  </si>
  <si>
    <t>RODRIGUEZ RODRIGUEZ MELANIE ELIZABETH</t>
  </si>
  <si>
    <t>VILLALBA TINDEL PAOLA JAZMIN</t>
  </si>
  <si>
    <t>OLMEDO CABALLERO FIORELLA MONSERRATH</t>
  </si>
  <si>
    <t>ZARZA ALIENDRE YELSY LIZBETH</t>
  </si>
  <si>
    <t>ALARCON MACORITTO MATHIAS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</si>
</sst>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3" fontId="8" fillId="0" borderId="1" xfId="0" applyNumberFormat="1" applyFont="1" applyFill="1" applyBorder="1" applyAlignment="1">
      <alignment horizontal="left"/>
    </xf>
    <xf numFmtId="2" fontId="9" fillId="0" borderId="1" xfId="0" applyNumberFormat="1" applyFont="1" applyFill="1" applyBorder="1" applyAlignment="1">
      <alignment horizontal="left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9" sqref="B9:K36"/>
    </sheetView>
  </sheetViews>
  <sheetFormatPr baseColWidth="10" defaultRowHeight="15"/>
  <cols>
    <col min="1" max="1" width="3.5703125" bestFit="1" customWidth="1"/>
    <col min="2" max="2" width="47.28515625" customWidth="1"/>
    <col min="3" max="3" width="9.5703125" customWidth="1"/>
    <col min="4" max="6" width="5.7109375" customWidth="1"/>
    <col min="7" max="11" width="6.7109375" customWidth="1"/>
  </cols>
  <sheetData>
    <row r="1" spans="1:1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4" t="s">
        <v>21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75">
      <c r="A5" s="26" t="s">
        <v>17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35.1" customHeight="1">
      <c r="A6" s="27" t="s">
        <v>3</v>
      </c>
      <c r="B6" s="27" t="s">
        <v>4</v>
      </c>
      <c r="C6" s="28" t="s">
        <v>5</v>
      </c>
      <c r="D6" s="29" t="s">
        <v>6</v>
      </c>
      <c r="E6" s="29"/>
      <c r="F6" s="29"/>
      <c r="G6" s="19" t="s">
        <v>7</v>
      </c>
      <c r="H6" s="17" t="s">
        <v>8</v>
      </c>
      <c r="I6" s="18"/>
      <c r="J6" s="19" t="s">
        <v>9</v>
      </c>
      <c r="K6" s="19" t="s">
        <v>10</v>
      </c>
    </row>
    <row r="7" spans="1:11" ht="30" customHeight="1">
      <c r="A7" s="27"/>
      <c r="B7" s="27"/>
      <c r="C7" s="28"/>
      <c r="D7" s="8" t="s">
        <v>11</v>
      </c>
      <c r="E7" s="8" t="s">
        <v>12</v>
      </c>
      <c r="F7" s="8" t="s">
        <v>13</v>
      </c>
      <c r="G7" s="20"/>
      <c r="H7" s="7" t="s">
        <v>14</v>
      </c>
      <c r="I7" s="7" t="s">
        <v>15</v>
      </c>
      <c r="J7" s="20"/>
      <c r="K7" s="20"/>
    </row>
    <row r="8" spans="1:11">
      <c r="A8" s="21" t="s">
        <v>16</v>
      </c>
      <c r="B8" s="22"/>
      <c r="C8" s="23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1" s="6" customFormat="1" ht="23.1" customHeight="1">
      <c r="A9" s="10">
        <v>1</v>
      </c>
      <c r="B9" s="11" t="s">
        <v>35</v>
      </c>
      <c r="C9" s="15">
        <v>6044810</v>
      </c>
      <c r="D9" s="11">
        <v>15</v>
      </c>
      <c r="E9" s="11">
        <v>15</v>
      </c>
      <c r="F9" s="11">
        <v>15</v>
      </c>
      <c r="G9" s="16">
        <f t="shared" ref="G9:G36" si="2">SUM(D9:F9)*100/45*0.4</f>
        <v>40</v>
      </c>
      <c r="H9" s="16">
        <v>16</v>
      </c>
      <c r="I9" s="16">
        <v>25</v>
      </c>
      <c r="J9" s="16">
        <f t="shared" ref="J9:J36" si="3">SUM(H9:I9)</f>
        <v>41</v>
      </c>
      <c r="K9" s="16">
        <f t="shared" ref="K9:K36" si="4">G9+J9</f>
        <v>81</v>
      </c>
    </row>
    <row r="10" spans="1:11" s="6" customFormat="1" ht="23.1" customHeight="1">
      <c r="A10" s="10">
        <v>2</v>
      </c>
      <c r="B10" s="11" t="s">
        <v>41</v>
      </c>
      <c r="C10" s="15">
        <v>6907667</v>
      </c>
      <c r="D10" s="11">
        <v>15</v>
      </c>
      <c r="E10" s="11">
        <v>15</v>
      </c>
      <c r="F10" s="11">
        <v>15</v>
      </c>
      <c r="G10" s="16">
        <f t="shared" si="2"/>
        <v>40</v>
      </c>
      <c r="H10" s="16">
        <v>20</v>
      </c>
      <c r="I10" s="16">
        <v>19</v>
      </c>
      <c r="J10" s="16">
        <f t="shared" si="3"/>
        <v>39</v>
      </c>
      <c r="K10" s="16">
        <f t="shared" si="4"/>
        <v>79</v>
      </c>
    </row>
    <row r="11" spans="1:11" s="6" customFormat="1" ht="23.1" customHeight="1">
      <c r="A11" s="10">
        <v>3</v>
      </c>
      <c r="B11" s="11" t="s">
        <v>38</v>
      </c>
      <c r="C11" s="15">
        <v>6065311</v>
      </c>
      <c r="D11" s="11">
        <v>12</v>
      </c>
      <c r="E11" s="11">
        <v>12</v>
      </c>
      <c r="F11" s="11">
        <v>14</v>
      </c>
      <c r="G11" s="16">
        <f t="shared" si="2"/>
        <v>33.777777777777779</v>
      </c>
      <c r="H11" s="16">
        <v>22</v>
      </c>
      <c r="I11" s="16">
        <v>25</v>
      </c>
      <c r="J11" s="16">
        <f t="shared" si="3"/>
        <v>47</v>
      </c>
      <c r="K11" s="16">
        <f t="shared" si="4"/>
        <v>80.777777777777771</v>
      </c>
    </row>
    <row r="12" spans="1:11" s="6" customFormat="1" ht="23.1" customHeight="1">
      <c r="A12" s="10">
        <v>4</v>
      </c>
      <c r="B12" s="11" t="s">
        <v>29</v>
      </c>
      <c r="C12" s="15">
        <v>5802287</v>
      </c>
      <c r="D12" s="11">
        <v>15</v>
      </c>
      <c r="E12" s="11">
        <v>14</v>
      </c>
      <c r="F12" s="11">
        <v>15</v>
      </c>
      <c r="G12" s="16">
        <f t="shared" si="2"/>
        <v>39.111111111111114</v>
      </c>
      <c r="H12" s="16">
        <v>21</v>
      </c>
      <c r="I12" s="16">
        <v>24</v>
      </c>
      <c r="J12" s="16">
        <f t="shared" si="3"/>
        <v>45</v>
      </c>
      <c r="K12" s="16">
        <f t="shared" si="4"/>
        <v>84.111111111111114</v>
      </c>
    </row>
    <row r="13" spans="1:11" s="6" customFormat="1" ht="23.1" customHeight="1">
      <c r="A13" s="10">
        <v>5</v>
      </c>
      <c r="B13" s="11" t="s">
        <v>27</v>
      </c>
      <c r="C13" s="15">
        <v>6715362</v>
      </c>
      <c r="D13" s="11">
        <v>15</v>
      </c>
      <c r="E13" s="11">
        <v>15</v>
      </c>
      <c r="F13" s="11">
        <v>15</v>
      </c>
      <c r="G13" s="16">
        <f t="shared" si="2"/>
        <v>40</v>
      </c>
      <c r="H13" s="16">
        <v>23</v>
      </c>
      <c r="I13" s="16">
        <v>23</v>
      </c>
      <c r="J13" s="16">
        <f t="shared" si="3"/>
        <v>46</v>
      </c>
      <c r="K13" s="16">
        <f t="shared" si="4"/>
        <v>86</v>
      </c>
    </row>
    <row r="14" spans="1:11" s="6" customFormat="1" ht="23.1" customHeight="1">
      <c r="A14" s="10">
        <v>6</v>
      </c>
      <c r="B14" s="11" t="s">
        <v>28</v>
      </c>
      <c r="C14" s="15">
        <v>5720397</v>
      </c>
      <c r="D14" s="11">
        <v>15</v>
      </c>
      <c r="E14" s="11">
        <v>15</v>
      </c>
      <c r="F14" s="11">
        <v>15</v>
      </c>
      <c r="G14" s="16">
        <f t="shared" si="2"/>
        <v>40</v>
      </c>
      <c r="H14" s="16">
        <v>21</v>
      </c>
      <c r="I14" s="16">
        <v>25</v>
      </c>
      <c r="J14" s="16">
        <f t="shared" si="3"/>
        <v>46</v>
      </c>
      <c r="K14" s="16">
        <f t="shared" si="4"/>
        <v>86</v>
      </c>
    </row>
    <row r="15" spans="1:11" s="6" customFormat="1" ht="23.1" customHeight="1">
      <c r="A15" s="10">
        <v>7</v>
      </c>
      <c r="B15" s="11" t="s">
        <v>40</v>
      </c>
      <c r="C15" s="15">
        <v>6099949</v>
      </c>
      <c r="D15" s="11">
        <v>14</v>
      </c>
      <c r="E15" s="11">
        <v>15</v>
      </c>
      <c r="F15" s="11">
        <v>15</v>
      </c>
      <c r="G15" s="16">
        <f t="shared" si="2"/>
        <v>39.111111111111114</v>
      </c>
      <c r="H15" s="16">
        <v>16</v>
      </c>
      <c r="I15" s="16">
        <v>24</v>
      </c>
      <c r="J15" s="16">
        <f t="shared" si="3"/>
        <v>40</v>
      </c>
      <c r="K15" s="16">
        <f t="shared" si="4"/>
        <v>79.111111111111114</v>
      </c>
    </row>
    <row r="16" spans="1:11" s="6" customFormat="1" ht="23.1" customHeight="1">
      <c r="A16" s="10">
        <v>8</v>
      </c>
      <c r="B16" s="11" t="s">
        <v>48</v>
      </c>
      <c r="C16" s="15">
        <v>6046470</v>
      </c>
      <c r="D16" s="11">
        <v>14</v>
      </c>
      <c r="E16" s="11">
        <v>15</v>
      </c>
      <c r="F16" s="11">
        <v>15</v>
      </c>
      <c r="G16" s="16">
        <f t="shared" si="2"/>
        <v>39.111111111111114</v>
      </c>
      <c r="H16" s="16">
        <v>19</v>
      </c>
      <c r="I16" s="16">
        <v>19</v>
      </c>
      <c r="J16" s="16">
        <f t="shared" si="3"/>
        <v>38</v>
      </c>
      <c r="K16" s="16">
        <f t="shared" si="4"/>
        <v>77.111111111111114</v>
      </c>
    </row>
    <row r="17" spans="1:11" s="6" customFormat="1" ht="23.1" customHeight="1">
      <c r="A17" s="10">
        <v>9</v>
      </c>
      <c r="B17" s="11" t="s">
        <v>36</v>
      </c>
      <c r="C17" s="15">
        <v>5789967</v>
      </c>
      <c r="D17" s="11">
        <v>15</v>
      </c>
      <c r="E17" s="11">
        <v>15</v>
      </c>
      <c r="F17" s="11">
        <v>15</v>
      </c>
      <c r="G17" s="16">
        <f t="shared" si="2"/>
        <v>40</v>
      </c>
      <c r="H17" s="16">
        <v>17</v>
      </c>
      <c r="I17" s="16">
        <v>24</v>
      </c>
      <c r="J17" s="16">
        <f t="shared" si="3"/>
        <v>41</v>
      </c>
      <c r="K17" s="16">
        <f t="shared" si="4"/>
        <v>81</v>
      </c>
    </row>
    <row r="18" spans="1:11" s="6" customFormat="1" ht="23.1" customHeight="1">
      <c r="A18" s="10">
        <v>10</v>
      </c>
      <c r="B18" s="11" t="s">
        <v>24</v>
      </c>
      <c r="C18" s="15">
        <v>7485448</v>
      </c>
      <c r="D18" s="11">
        <v>15</v>
      </c>
      <c r="E18" s="11">
        <v>15</v>
      </c>
      <c r="F18" s="11">
        <v>15</v>
      </c>
      <c r="G18" s="16">
        <f t="shared" si="2"/>
        <v>40</v>
      </c>
      <c r="H18" s="16">
        <v>23</v>
      </c>
      <c r="I18" s="16">
        <v>26</v>
      </c>
      <c r="J18" s="16">
        <f t="shared" si="3"/>
        <v>49</v>
      </c>
      <c r="K18" s="16">
        <f t="shared" si="4"/>
        <v>89</v>
      </c>
    </row>
    <row r="19" spans="1:11" s="6" customFormat="1" ht="23.1" customHeight="1">
      <c r="A19" s="10">
        <v>11</v>
      </c>
      <c r="B19" s="11" t="s">
        <v>26</v>
      </c>
      <c r="C19" s="15">
        <v>5791873</v>
      </c>
      <c r="D19" s="11">
        <v>15</v>
      </c>
      <c r="E19" s="11">
        <v>15</v>
      </c>
      <c r="F19" s="11">
        <v>15</v>
      </c>
      <c r="G19" s="16">
        <f t="shared" si="2"/>
        <v>40</v>
      </c>
      <c r="H19" s="16">
        <v>22</v>
      </c>
      <c r="I19" s="16">
        <v>25</v>
      </c>
      <c r="J19" s="16">
        <f t="shared" si="3"/>
        <v>47</v>
      </c>
      <c r="K19" s="16">
        <f t="shared" si="4"/>
        <v>87</v>
      </c>
    </row>
    <row r="20" spans="1:11" s="6" customFormat="1" ht="23.1" customHeight="1">
      <c r="A20" s="10">
        <v>12</v>
      </c>
      <c r="B20" s="11" t="s">
        <v>42</v>
      </c>
      <c r="C20" s="15">
        <v>6536681</v>
      </c>
      <c r="D20" s="11">
        <v>15</v>
      </c>
      <c r="E20" s="11">
        <v>15</v>
      </c>
      <c r="F20" s="11">
        <v>15</v>
      </c>
      <c r="G20" s="16">
        <f t="shared" si="2"/>
        <v>40</v>
      </c>
      <c r="H20" s="16">
        <v>19</v>
      </c>
      <c r="I20" s="16">
        <v>20</v>
      </c>
      <c r="J20" s="16">
        <f t="shared" si="3"/>
        <v>39</v>
      </c>
      <c r="K20" s="16">
        <f t="shared" si="4"/>
        <v>79</v>
      </c>
    </row>
    <row r="21" spans="1:11" s="6" customFormat="1" ht="23.1" customHeight="1">
      <c r="A21" s="10">
        <v>13</v>
      </c>
      <c r="B21" s="11" t="s">
        <v>37</v>
      </c>
      <c r="C21" s="15">
        <v>7562373</v>
      </c>
      <c r="D21" s="11">
        <v>15</v>
      </c>
      <c r="E21" s="11">
        <v>15</v>
      </c>
      <c r="F21" s="11">
        <v>15</v>
      </c>
      <c r="G21" s="16">
        <f t="shared" si="2"/>
        <v>40</v>
      </c>
      <c r="H21" s="16">
        <v>17</v>
      </c>
      <c r="I21" s="16">
        <v>24</v>
      </c>
      <c r="J21" s="16">
        <f t="shared" si="3"/>
        <v>41</v>
      </c>
      <c r="K21" s="16">
        <f t="shared" si="4"/>
        <v>81</v>
      </c>
    </row>
    <row r="22" spans="1:11" s="6" customFormat="1" ht="23.1" customHeight="1">
      <c r="A22" s="10">
        <v>14</v>
      </c>
      <c r="B22" s="11" t="s">
        <v>39</v>
      </c>
      <c r="C22" s="15">
        <v>5720763</v>
      </c>
      <c r="D22" s="11">
        <v>15</v>
      </c>
      <c r="E22" s="11">
        <v>15</v>
      </c>
      <c r="F22" s="11">
        <v>15</v>
      </c>
      <c r="G22" s="16">
        <f t="shared" si="2"/>
        <v>40</v>
      </c>
      <c r="H22" s="16">
        <v>18</v>
      </c>
      <c r="I22" s="16">
        <v>22</v>
      </c>
      <c r="J22" s="16">
        <f t="shared" si="3"/>
        <v>40</v>
      </c>
      <c r="K22" s="16">
        <f t="shared" si="4"/>
        <v>80</v>
      </c>
    </row>
    <row r="23" spans="1:11" s="6" customFormat="1" ht="23.1" customHeight="1">
      <c r="A23" s="10">
        <v>15</v>
      </c>
      <c r="B23" s="11" t="s">
        <v>22</v>
      </c>
      <c r="C23" s="15">
        <v>6043695</v>
      </c>
      <c r="D23" s="11">
        <v>15</v>
      </c>
      <c r="E23" s="11">
        <v>15</v>
      </c>
      <c r="F23" s="11">
        <v>15</v>
      </c>
      <c r="G23" s="16">
        <f t="shared" si="2"/>
        <v>40</v>
      </c>
      <c r="H23" s="16">
        <v>26</v>
      </c>
      <c r="I23" s="16">
        <v>28</v>
      </c>
      <c r="J23" s="16">
        <f t="shared" si="3"/>
        <v>54</v>
      </c>
      <c r="K23" s="16">
        <f t="shared" si="4"/>
        <v>94</v>
      </c>
    </row>
    <row r="24" spans="1:11" s="6" customFormat="1" ht="23.1" customHeight="1">
      <c r="A24" s="10">
        <v>16</v>
      </c>
      <c r="B24" s="11" t="s">
        <v>32</v>
      </c>
      <c r="C24" s="15">
        <v>5662277</v>
      </c>
      <c r="D24" s="11">
        <v>11</v>
      </c>
      <c r="E24" s="11">
        <v>15</v>
      </c>
      <c r="F24" s="11">
        <v>14</v>
      </c>
      <c r="G24" s="16">
        <f t="shared" si="2"/>
        <v>35.555555555555557</v>
      </c>
      <c r="H24" s="16">
        <v>24</v>
      </c>
      <c r="I24" s="16">
        <v>23</v>
      </c>
      <c r="J24" s="16">
        <f t="shared" si="3"/>
        <v>47</v>
      </c>
      <c r="K24" s="16">
        <f t="shared" si="4"/>
        <v>82.555555555555557</v>
      </c>
    </row>
    <row r="25" spans="1:11" s="6" customFormat="1" ht="23.1" customHeight="1">
      <c r="A25" s="10">
        <v>17</v>
      </c>
      <c r="B25" s="11" t="s">
        <v>30</v>
      </c>
      <c r="C25" s="15">
        <v>6151613</v>
      </c>
      <c r="D25" s="11">
        <v>14</v>
      </c>
      <c r="E25" s="11">
        <v>15</v>
      </c>
      <c r="F25" s="11">
        <v>15</v>
      </c>
      <c r="G25" s="16">
        <f t="shared" si="2"/>
        <v>39.111111111111114</v>
      </c>
      <c r="H25" s="16">
        <v>23</v>
      </c>
      <c r="I25" s="16">
        <v>21</v>
      </c>
      <c r="J25" s="16">
        <f t="shared" si="3"/>
        <v>44</v>
      </c>
      <c r="K25" s="16">
        <f t="shared" si="4"/>
        <v>83.111111111111114</v>
      </c>
    </row>
    <row r="26" spans="1:11" s="6" customFormat="1" ht="23.1" customHeight="1">
      <c r="A26" s="10">
        <v>18</v>
      </c>
      <c r="B26" s="11" t="s">
        <v>49</v>
      </c>
      <c r="C26" s="15">
        <v>6144047</v>
      </c>
      <c r="D26" s="11">
        <v>15</v>
      </c>
      <c r="E26" s="11">
        <v>15</v>
      </c>
      <c r="F26" s="11">
        <v>15</v>
      </c>
      <c r="G26" s="16">
        <f t="shared" si="2"/>
        <v>40</v>
      </c>
      <c r="H26" s="16">
        <v>12</v>
      </c>
      <c r="I26" s="16">
        <v>25</v>
      </c>
      <c r="J26" s="16">
        <f t="shared" si="3"/>
        <v>37</v>
      </c>
      <c r="K26" s="16">
        <f t="shared" si="4"/>
        <v>77</v>
      </c>
    </row>
    <row r="27" spans="1:11" s="6" customFormat="1" ht="23.1" customHeight="1">
      <c r="A27" s="10">
        <v>19</v>
      </c>
      <c r="B27" s="11" t="s">
        <v>43</v>
      </c>
      <c r="C27" s="15">
        <v>6166834</v>
      </c>
      <c r="D27" s="11">
        <v>15</v>
      </c>
      <c r="E27" s="11">
        <v>15</v>
      </c>
      <c r="F27" s="11">
        <v>15</v>
      </c>
      <c r="G27" s="16">
        <f t="shared" si="2"/>
        <v>40</v>
      </c>
      <c r="H27" s="16">
        <v>15</v>
      </c>
      <c r="I27" s="16">
        <v>24</v>
      </c>
      <c r="J27" s="16">
        <f t="shared" si="3"/>
        <v>39</v>
      </c>
      <c r="K27" s="16">
        <f t="shared" si="4"/>
        <v>79</v>
      </c>
    </row>
    <row r="28" spans="1:11" s="6" customFormat="1" ht="23.1" customHeight="1">
      <c r="A28" s="10">
        <v>20</v>
      </c>
      <c r="B28" s="11" t="s">
        <v>34</v>
      </c>
      <c r="C28" s="15">
        <v>5716471</v>
      </c>
      <c r="D28" s="11">
        <v>13</v>
      </c>
      <c r="E28" s="11">
        <v>15</v>
      </c>
      <c r="F28" s="11">
        <v>15</v>
      </c>
      <c r="G28" s="16">
        <f t="shared" si="2"/>
        <v>38.222222222222221</v>
      </c>
      <c r="H28" s="16">
        <v>19</v>
      </c>
      <c r="I28" s="16">
        <v>24</v>
      </c>
      <c r="J28" s="16">
        <f t="shared" si="3"/>
        <v>43</v>
      </c>
      <c r="K28" s="16">
        <f t="shared" si="4"/>
        <v>81.222222222222229</v>
      </c>
    </row>
    <row r="29" spans="1:11" s="6" customFormat="1" ht="23.1" customHeight="1">
      <c r="A29" s="10">
        <v>21</v>
      </c>
      <c r="B29" s="11" t="s">
        <v>46</v>
      </c>
      <c r="C29" s="15">
        <v>6571546</v>
      </c>
      <c r="D29" s="11">
        <v>14</v>
      </c>
      <c r="E29" s="11">
        <v>14</v>
      </c>
      <c r="F29" s="11">
        <v>13</v>
      </c>
      <c r="G29" s="16">
        <f t="shared" si="2"/>
        <v>36.44444444444445</v>
      </c>
      <c r="H29" s="16">
        <v>21</v>
      </c>
      <c r="I29" s="16">
        <v>20</v>
      </c>
      <c r="J29" s="16">
        <f t="shared" si="3"/>
        <v>41</v>
      </c>
      <c r="K29" s="16">
        <f t="shared" si="4"/>
        <v>77.444444444444457</v>
      </c>
    </row>
    <row r="30" spans="1:11" s="6" customFormat="1" ht="23.1" customHeight="1">
      <c r="A30" s="10">
        <v>22</v>
      </c>
      <c r="B30" s="11" t="s">
        <v>47</v>
      </c>
      <c r="C30" s="15">
        <v>6504236</v>
      </c>
      <c r="D30" s="11">
        <v>15</v>
      </c>
      <c r="E30" s="11">
        <v>15</v>
      </c>
      <c r="F30" s="11">
        <v>13</v>
      </c>
      <c r="G30" s="16">
        <f t="shared" si="2"/>
        <v>38.222222222222221</v>
      </c>
      <c r="H30" s="16">
        <v>16</v>
      </c>
      <c r="I30" s="16">
        <v>23</v>
      </c>
      <c r="J30" s="16">
        <f t="shared" si="3"/>
        <v>39</v>
      </c>
      <c r="K30" s="16">
        <f t="shared" si="4"/>
        <v>77.222222222222229</v>
      </c>
    </row>
    <row r="31" spans="1:11" s="6" customFormat="1" ht="23.1" customHeight="1">
      <c r="A31" s="10">
        <v>23</v>
      </c>
      <c r="B31" s="11" t="s">
        <v>33</v>
      </c>
      <c r="C31" s="15">
        <v>6581828</v>
      </c>
      <c r="D31" s="11">
        <v>14</v>
      </c>
      <c r="E31" s="11">
        <v>14</v>
      </c>
      <c r="F31" s="11">
        <v>14</v>
      </c>
      <c r="G31" s="16">
        <f t="shared" si="2"/>
        <v>37.333333333333336</v>
      </c>
      <c r="H31" s="16">
        <v>21</v>
      </c>
      <c r="I31" s="16">
        <v>23</v>
      </c>
      <c r="J31" s="16">
        <f t="shared" si="3"/>
        <v>44</v>
      </c>
      <c r="K31" s="16">
        <f t="shared" si="4"/>
        <v>81.333333333333343</v>
      </c>
    </row>
    <row r="32" spans="1:11" s="6" customFormat="1" ht="23.1" customHeight="1">
      <c r="A32" s="10">
        <v>24</v>
      </c>
      <c r="B32" s="11" t="s">
        <v>23</v>
      </c>
      <c r="C32" s="15">
        <v>6712911</v>
      </c>
      <c r="D32" s="11">
        <v>15</v>
      </c>
      <c r="E32" s="11">
        <v>15</v>
      </c>
      <c r="F32" s="11">
        <v>15</v>
      </c>
      <c r="G32" s="16">
        <f t="shared" si="2"/>
        <v>40</v>
      </c>
      <c r="H32" s="16">
        <v>27</v>
      </c>
      <c r="I32" s="16">
        <v>23</v>
      </c>
      <c r="J32" s="16">
        <f t="shared" si="3"/>
        <v>50</v>
      </c>
      <c r="K32" s="16">
        <f t="shared" si="4"/>
        <v>90</v>
      </c>
    </row>
    <row r="33" spans="1:11" s="6" customFormat="1" ht="23.1" customHeight="1">
      <c r="A33" s="10">
        <v>25</v>
      </c>
      <c r="B33" s="11" t="s">
        <v>45</v>
      </c>
      <c r="C33" s="15">
        <v>6255235</v>
      </c>
      <c r="D33" s="11">
        <v>13</v>
      </c>
      <c r="E33" s="11">
        <v>15</v>
      </c>
      <c r="F33" s="11">
        <v>15</v>
      </c>
      <c r="G33" s="16">
        <f t="shared" si="2"/>
        <v>38.222222222222221</v>
      </c>
      <c r="H33" s="16">
        <v>16</v>
      </c>
      <c r="I33" s="16">
        <v>24</v>
      </c>
      <c r="J33" s="16">
        <f t="shared" si="3"/>
        <v>40</v>
      </c>
      <c r="K33" s="16">
        <f t="shared" si="4"/>
        <v>78.222222222222229</v>
      </c>
    </row>
    <row r="34" spans="1:11" s="6" customFormat="1" ht="23.1" customHeight="1">
      <c r="A34" s="10">
        <v>26</v>
      </c>
      <c r="B34" s="11" t="s">
        <v>25</v>
      </c>
      <c r="C34" s="15">
        <v>5966436</v>
      </c>
      <c r="D34" s="11">
        <v>15</v>
      </c>
      <c r="E34" s="11">
        <v>15</v>
      </c>
      <c r="F34" s="11">
        <v>15</v>
      </c>
      <c r="G34" s="16">
        <f t="shared" si="2"/>
        <v>40</v>
      </c>
      <c r="H34" s="16">
        <v>22</v>
      </c>
      <c r="I34" s="16">
        <v>27</v>
      </c>
      <c r="J34" s="16">
        <f t="shared" si="3"/>
        <v>49</v>
      </c>
      <c r="K34" s="16">
        <f t="shared" si="4"/>
        <v>89</v>
      </c>
    </row>
    <row r="35" spans="1:11" s="6" customFormat="1" ht="23.1" customHeight="1">
      <c r="A35" s="10">
        <v>27</v>
      </c>
      <c r="B35" s="11" t="s">
        <v>44</v>
      </c>
      <c r="C35" s="15">
        <v>6254810</v>
      </c>
      <c r="D35" s="11">
        <v>15</v>
      </c>
      <c r="E35" s="11">
        <v>15</v>
      </c>
      <c r="F35" s="11">
        <v>15</v>
      </c>
      <c r="G35" s="16">
        <f t="shared" si="2"/>
        <v>40</v>
      </c>
      <c r="H35" s="16">
        <v>18</v>
      </c>
      <c r="I35" s="16">
        <v>21</v>
      </c>
      <c r="J35" s="16">
        <f t="shared" si="3"/>
        <v>39</v>
      </c>
      <c r="K35" s="16">
        <f t="shared" si="4"/>
        <v>79</v>
      </c>
    </row>
    <row r="36" spans="1:11" s="6" customFormat="1" ht="23.1" customHeight="1">
      <c r="A36" s="10">
        <v>28</v>
      </c>
      <c r="B36" s="11" t="s">
        <v>31</v>
      </c>
      <c r="C36" s="15">
        <v>7324679</v>
      </c>
      <c r="D36" s="11">
        <v>15</v>
      </c>
      <c r="E36" s="11">
        <v>14</v>
      </c>
      <c r="F36" s="11">
        <v>15</v>
      </c>
      <c r="G36" s="16">
        <f t="shared" si="2"/>
        <v>39.111111111111114</v>
      </c>
      <c r="H36" s="16">
        <v>24</v>
      </c>
      <c r="I36" s="16">
        <v>20</v>
      </c>
      <c r="J36" s="16">
        <f t="shared" si="3"/>
        <v>44</v>
      </c>
      <c r="K36" s="16">
        <f t="shared" si="4"/>
        <v>83.111111111111114</v>
      </c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B13" sqref="B13"/>
    </sheetView>
  </sheetViews>
  <sheetFormatPr baseColWidth="10" defaultRowHeight="15"/>
  <cols>
    <col min="1" max="1" width="3.5703125" bestFit="1" customWidth="1"/>
    <col min="2" max="2" width="47.28515625" customWidth="1"/>
    <col min="3" max="3" width="11.140625" customWidth="1"/>
    <col min="4" max="6" width="5.7109375" customWidth="1"/>
    <col min="7" max="11" width="6.7109375" customWidth="1"/>
  </cols>
  <sheetData>
    <row r="1" spans="1:1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>
      <c r="A4" s="24" t="s">
        <v>21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15.75">
      <c r="A5" s="26" t="s">
        <v>18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35.1" customHeight="1">
      <c r="A6" s="27" t="s">
        <v>3</v>
      </c>
      <c r="B6" s="27" t="s">
        <v>4</v>
      </c>
      <c r="C6" s="28" t="s">
        <v>5</v>
      </c>
      <c r="D6" s="29" t="s">
        <v>6</v>
      </c>
      <c r="E6" s="29"/>
      <c r="F6" s="29"/>
      <c r="G6" s="19" t="s">
        <v>7</v>
      </c>
      <c r="H6" s="17" t="s">
        <v>8</v>
      </c>
      <c r="I6" s="18"/>
      <c r="J6" s="19" t="s">
        <v>9</v>
      </c>
      <c r="K6" s="19" t="s">
        <v>10</v>
      </c>
    </row>
    <row r="7" spans="1:11" ht="30" customHeight="1">
      <c r="A7" s="27"/>
      <c r="B7" s="27"/>
      <c r="C7" s="28"/>
      <c r="D7" s="8" t="s">
        <v>11</v>
      </c>
      <c r="E7" s="8" t="s">
        <v>12</v>
      </c>
      <c r="F7" s="8" t="s">
        <v>13</v>
      </c>
      <c r="G7" s="20"/>
      <c r="H7" s="7" t="s">
        <v>14</v>
      </c>
      <c r="I7" s="7" t="s">
        <v>15</v>
      </c>
      <c r="J7" s="20"/>
      <c r="K7" s="20"/>
    </row>
    <row r="8" spans="1:11">
      <c r="A8" s="21" t="s">
        <v>16</v>
      </c>
      <c r="B8" s="22"/>
      <c r="C8" s="23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1" s="6" customFormat="1" ht="23.1" customHeight="1">
      <c r="A9" s="10">
        <v>1</v>
      </c>
      <c r="B9" s="11" t="s">
        <v>105</v>
      </c>
      <c r="C9" s="12">
        <v>5816670</v>
      </c>
      <c r="D9" s="13">
        <v>11</v>
      </c>
      <c r="E9" s="13">
        <v>15</v>
      </c>
      <c r="F9" s="13">
        <v>15</v>
      </c>
      <c r="G9" s="14">
        <f t="shared" ref="G9:G36" si="2">SUM(D9:F9)*100/45*0.4</f>
        <v>36.44444444444445</v>
      </c>
      <c r="H9" s="14">
        <v>18</v>
      </c>
      <c r="I9" s="14">
        <v>17</v>
      </c>
      <c r="J9" s="14">
        <f t="shared" ref="J9:J36" si="3">SUM(H9:I9)</f>
        <v>35</v>
      </c>
      <c r="K9" s="14">
        <f t="shared" ref="K9:K36" si="4">G9+J9</f>
        <v>71.444444444444457</v>
      </c>
    </row>
    <row r="10" spans="1:11" s="6" customFormat="1" ht="23.1" customHeight="1">
      <c r="A10" s="10">
        <v>2</v>
      </c>
      <c r="B10" s="11" t="s">
        <v>95</v>
      </c>
      <c r="C10" s="12">
        <v>6116432</v>
      </c>
      <c r="D10" s="13">
        <v>15</v>
      </c>
      <c r="E10" s="13">
        <v>15</v>
      </c>
      <c r="F10" s="13">
        <v>15</v>
      </c>
      <c r="G10" s="14">
        <f t="shared" si="2"/>
        <v>40</v>
      </c>
      <c r="H10" s="14">
        <v>13</v>
      </c>
      <c r="I10" s="14">
        <v>20</v>
      </c>
      <c r="J10" s="14">
        <f t="shared" si="3"/>
        <v>33</v>
      </c>
      <c r="K10" s="14">
        <f t="shared" si="4"/>
        <v>73</v>
      </c>
    </row>
    <row r="11" spans="1:11" s="6" customFormat="1" ht="23.1" customHeight="1">
      <c r="A11" s="10">
        <v>3</v>
      </c>
      <c r="B11" s="11" t="s">
        <v>96</v>
      </c>
      <c r="C11" s="12">
        <v>6246090</v>
      </c>
      <c r="D11" s="13">
        <v>15</v>
      </c>
      <c r="E11" s="13">
        <v>15</v>
      </c>
      <c r="F11" s="13">
        <v>15</v>
      </c>
      <c r="G11" s="14">
        <f t="shared" si="2"/>
        <v>40</v>
      </c>
      <c r="H11" s="14">
        <v>14</v>
      </c>
      <c r="I11" s="14">
        <v>19</v>
      </c>
      <c r="J11" s="14">
        <f t="shared" si="3"/>
        <v>33</v>
      </c>
      <c r="K11" s="14">
        <f t="shared" si="4"/>
        <v>73</v>
      </c>
    </row>
    <row r="12" spans="1:11" s="6" customFormat="1" ht="23.1" customHeight="1">
      <c r="A12" s="10">
        <v>4</v>
      </c>
      <c r="B12" s="11" t="s">
        <v>82</v>
      </c>
      <c r="C12" s="12">
        <v>5740035</v>
      </c>
      <c r="D12" s="13">
        <v>15</v>
      </c>
      <c r="E12" s="13">
        <v>15</v>
      </c>
      <c r="F12" s="13">
        <v>15</v>
      </c>
      <c r="G12" s="14">
        <f t="shared" si="2"/>
        <v>40</v>
      </c>
      <c r="H12" s="14">
        <v>16</v>
      </c>
      <c r="I12" s="14">
        <v>20</v>
      </c>
      <c r="J12" s="14">
        <f t="shared" si="3"/>
        <v>36</v>
      </c>
      <c r="K12" s="14">
        <f t="shared" si="4"/>
        <v>76</v>
      </c>
    </row>
    <row r="13" spans="1:11" s="6" customFormat="1" ht="23.1" customHeight="1">
      <c r="A13" s="10">
        <v>5</v>
      </c>
      <c r="B13" s="11" t="s">
        <v>85</v>
      </c>
      <c r="C13" s="12">
        <v>5841677</v>
      </c>
      <c r="D13" s="13">
        <v>14</v>
      </c>
      <c r="E13" s="13">
        <v>15</v>
      </c>
      <c r="F13" s="13">
        <v>15</v>
      </c>
      <c r="G13" s="14">
        <f t="shared" si="2"/>
        <v>39.111111111111114</v>
      </c>
      <c r="H13" s="14">
        <v>20</v>
      </c>
      <c r="I13" s="14">
        <v>16</v>
      </c>
      <c r="J13" s="14">
        <f t="shared" si="3"/>
        <v>36</v>
      </c>
      <c r="K13" s="14">
        <f t="shared" si="4"/>
        <v>75.111111111111114</v>
      </c>
    </row>
    <row r="14" spans="1:11" s="6" customFormat="1" ht="23.1" customHeight="1">
      <c r="A14" s="10">
        <v>6</v>
      </c>
      <c r="B14" s="11" t="s">
        <v>90</v>
      </c>
      <c r="C14" s="12">
        <v>6013655</v>
      </c>
      <c r="D14" s="13">
        <v>12</v>
      </c>
      <c r="E14" s="13">
        <v>15</v>
      </c>
      <c r="F14" s="13">
        <v>15</v>
      </c>
      <c r="G14" s="14">
        <f t="shared" si="2"/>
        <v>37.333333333333336</v>
      </c>
      <c r="H14" s="14">
        <v>17</v>
      </c>
      <c r="I14" s="14">
        <v>20</v>
      </c>
      <c r="J14" s="14">
        <f t="shared" si="3"/>
        <v>37</v>
      </c>
      <c r="K14" s="14">
        <f t="shared" si="4"/>
        <v>74.333333333333343</v>
      </c>
    </row>
    <row r="15" spans="1:11" s="6" customFormat="1" ht="23.1" customHeight="1">
      <c r="A15" s="10">
        <v>7</v>
      </c>
      <c r="B15" s="11" t="s">
        <v>91</v>
      </c>
      <c r="C15" s="12">
        <v>5826951</v>
      </c>
      <c r="D15" s="13">
        <v>15</v>
      </c>
      <c r="E15" s="13">
        <v>14</v>
      </c>
      <c r="F15" s="13">
        <v>15</v>
      </c>
      <c r="G15" s="14">
        <f t="shared" si="2"/>
        <v>39.111111111111114</v>
      </c>
      <c r="H15" s="14">
        <v>13</v>
      </c>
      <c r="I15" s="14">
        <v>22</v>
      </c>
      <c r="J15" s="14">
        <f t="shared" si="3"/>
        <v>35</v>
      </c>
      <c r="K15" s="14">
        <f t="shared" si="4"/>
        <v>74.111111111111114</v>
      </c>
    </row>
    <row r="16" spans="1:11" s="6" customFormat="1" ht="23.1" customHeight="1">
      <c r="A16" s="10">
        <v>8</v>
      </c>
      <c r="B16" s="11" t="s">
        <v>80</v>
      </c>
      <c r="C16" s="12">
        <v>6006927</v>
      </c>
      <c r="D16" s="13">
        <v>13</v>
      </c>
      <c r="E16" s="13">
        <v>15</v>
      </c>
      <c r="F16" s="13">
        <v>15</v>
      </c>
      <c r="G16" s="14">
        <f t="shared" si="2"/>
        <v>38.222222222222221</v>
      </c>
      <c r="H16" s="14">
        <v>17</v>
      </c>
      <c r="I16" s="14">
        <v>21</v>
      </c>
      <c r="J16" s="14">
        <f t="shared" si="3"/>
        <v>38</v>
      </c>
      <c r="K16" s="14">
        <f t="shared" si="4"/>
        <v>76.222222222222229</v>
      </c>
    </row>
    <row r="17" spans="1:11" s="6" customFormat="1" ht="23.1" customHeight="1">
      <c r="A17" s="10">
        <v>9</v>
      </c>
      <c r="B17" s="11" t="s">
        <v>86</v>
      </c>
      <c r="C17" s="12">
        <v>5772749</v>
      </c>
      <c r="D17" s="13">
        <v>15</v>
      </c>
      <c r="E17" s="13">
        <v>15</v>
      </c>
      <c r="F17" s="13">
        <v>15</v>
      </c>
      <c r="G17" s="14">
        <f t="shared" si="2"/>
        <v>40</v>
      </c>
      <c r="H17" s="14">
        <v>13</v>
      </c>
      <c r="I17" s="14">
        <v>22</v>
      </c>
      <c r="J17" s="14">
        <f t="shared" si="3"/>
        <v>35</v>
      </c>
      <c r="K17" s="14">
        <f t="shared" si="4"/>
        <v>75</v>
      </c>
    </row>
    <row r="18" spans="1:11" s="6" customFormat="1" ht="23.1" customHeight="1">
      <c r="A18" s="10">
        <v>10</v>
      </c>
      <c r="B18" s="11" t="s">
        <v>93</v>
      </c>
      <c r="C18" s="12">
        <v>5753281</v>
      </c>
      <c r="D18" s="13">
        <v>13</v>
      </c>
      <c r="E18" s="13">
        <v>11</v>
      </c>
      <c r="F18" s="13">
        <v>14</v>
      </c>
      <c r="G18" s="14">
        <f t="shared" si="2"/>
        <v>33.777777777777779</v>
      </c>
      <c r="H18" s="14">
        <v>18</v>
      </c>
      <c r="I18" s="14">
        <v>22</v>
      </c>
      <c r="J18" s="14">
        <f t="shared" si="3"/>
        <v>40</v>
      </c>
      <c r="K18" s="14">
        <f t="shared" si="4"/>
        <v>73.777777777777771</v>
      </c>
    </row>
    <row r="19" spans="1:11" s="6" customFormat="1" ht="23.1" customHeight="1">
      <c r="A19" s="10">
        <v>11</v>
      </c>
      <c r="B19" s="11" t="s">
        <v>87</v>
      </c>
      <c r="C19" s="12">
        <v>5693288</v>
      </c>
      <c r="D19" s="13">
        <v>15</v>
      </c>
      <c r="E19" s="13">
        <v>15</v>
      </c>
      <c r="F19" s="13">
        <v>15</v>
      </c>
      <c r="G19" s="14">
        <f t="shared" si="2"/>
        <v>40</v>
      </c>
      <c r="H19" s="14">
        <v>15</v>
      </c>
      <c r="I19" s="14">
        <v>20</v>
      </c>
      <c r="J19" s="14">
        <f t="shared" si="3"/>
        <v>35</v>
      </c>
      <c r="K19" s="14">
        <f t="shared" si="4"/>
        <v>75</v>
      </c>
    </row>
    <row r="20" spans="1:11" s="6" customFormat="1" ht="23.1" customHeight="1">
      <c r="A20" s="10">
        <v>12</v>
      </c>
      <c r="B20" s="11" t="s">
        <v>79</v>
      </c>
      <c r="C20" s="12">
        <v>6103360</v>
      </c>
      <c r="D20" s="13">
        <v>13</v>
      </c>
      <c r="E20" s="13">
        <v>14</v>
      </c>
      <c r="F20" s="13">
        <v>15</v>
      </c>
      <c r="G20" s="14">
        <f t="shared" si="2"/>
        <v>37.333333333333336</v>
      </c>
      <c r="H20" s="14">
        <v>17</v>
      </c>
      <c r="I20" s="14">
        <v>22</v>
      </c>
      <c r="J20" s="14">
        <f t="shared" si="3"/>
        <v>39</v>
      </c>
      <c r="K20" s="14">
        <f t="shared" si="4"/>
        <v>76.333333333333343</v>
      </c>
    </row>
    <row r="21" spans="1:11" s="6" customFormat="1" ht="23.1" customHeight="1">
      <c r="A21" s="10">
        <v>13</v>
      </c>
      <c r="B21" s="11" t="s">
        <v>97</v>
      </c>
      <c r="C21" s="12">
        <v>7033768</v>
      </c>
      <c r="D21" s="13">
        <v>15</v>
      </c>
      <c r="E21" s="13">
        <v>15</v>
      </c>
      <c r="F21" s="13">
        <v>15</v>
      </c>
      <c r="G21" s="14">
        <f t="shared" si="2"/>
        <v>40</v>
      </c>
      <c r="H21" s="14">
        <v>15</v>
      </c>
      <c r="I21" s="14">
        <v>18</v>
      </c>
      <c r="J21" s="14">
        <f t="shared" si="3"/>
        <v>33</v>
      </c>
      <c r="K21" s="14">
        <f t="shared" si="4"/>
        <v>73</v>
      </c>
    </row>
    <row r="22" spans="1:11" s="6" customFormat="1" ht="23.1" customHeight="1">
      <c r="A22" s="10">
        <v>14</v>
      </c>
      <c r="B22" s="11" t="s">
        <v>94</v>
      </c>
      <c r="C22" s="12">
        <v>6246993</v>
      </c>
      <c r="D22" s="13">
        <v>15</v>
      </c>
      <c r="E22" s="13">
        <v>14</v>
      </c>
      <c r="F22" s="13">
        <v>14</v>
      </c>
      <c r="G22" s="14">
        <f t="shared" si="2"/>
        <v>38.222222222222221</v>
      </c>
      <c r="H22" s="14">
        <v>15</v>
      </c>
      <c r="I22" s="14">
        <v>20</v>
      </c>
      <c r="J22" s="14">
        <f t="shared" si="3"/>
        <v>35</v>
      </c>
      <c r="K22" s="14">
        <f t="shared" si="4"/>
        <v>73.222222222222229</v>
      </c>
    </row>
    <row r="23" spans="1:11" s="6" customFormat="1" ht="23.1" customHeight="1">
      <c r="A23" s="10">
        <v>15</v>
      </c>
      <c r="B23" s="11" t="s">
        <v>103</v>
      </c>
      <c r="C23" s="12">
        <v>6758272</v>
      </c>
      <c r="D23" s="13">
        <v>15</v>
      </c>
      <c r="E23" s="13">
        <v>15</v>
      </c>
      <c r="F23" s="13">
        <v>15</v>
      </c>
      <c r="G23" s="14">
        <f t="shared" si="2"/>
        <v>40</v>
      </c>
      <c r="H23" s="14">
        <v>14</v>
      </c>
      <c r="I23" s="14">
        <v>18</v>
      </c>
      <c r="J23" s="14">
        <f t="shared" si="3"/>
        <v>32</v>
      </c>
      <c r="K23" s="14">
        <f t="shared" si="4"/>
        <v>72</v>
      </c>
    </row>
    <row r="24" spans="1:11" s="6" customFormat="1" ht="23.1" customHeight="1">
      <c r="A24" s="10">
        <v>16</v>
      </c>
      <c r="B24" s="11" t="s">
        <v>98</v>
      </c>
      <c r="C24" s="12">
        <v>6318042</v>
      </c>
      <c r="D24" s="13">
        <v>15</v>
      </c>
      <c r="E24" s="13">
        <v>15</v>
      </c>
      <c r="F24" s="13">
        <v>15</v>
      </c>
      <c r="G24" s="14">
        <f t="shared" si="2"/>
        <v>40</v>
      </c>
      <c r="H24" s="14">
        <v>17</v>
      </c>
      <c r="I24" s="14">
        <v>16</v>
      </c>
      <c r="J24" s="14">
        <f t="shared" si="3"/>
        <v>33</v>
      </c>
      <c r="K24" s="14">
        <f t="shared" si="4"/>
        <v>73</v>
      </c>
    </row>
    <row r="25" spans="1:11" s="6" customFormat="1" ht="23.1" customHeight="1">
      <c r="A25" s="10">
        <v>17</v>
      </c>
      <c r="B25" s="11" t="s">
        <v>88</v>
      </c>
      <c r="C25" s="12">
        <v>6524212</v>
      </c>
      <c r="D25" s="13">
        <v>15</v>
      </c>
      <c r="E25" s="13">
        <v>15</v>
      </c>
      <c r="F25" s="13">
        <v>15</v>
      </c>
      <c r="G25" s="14">
        <f t="shared" si="2"/>
        <v>40</v>
      </c>
      <c r="H25" s="14">
        <v>13</v>
      </c>
      <c r="I25" s="14">
        <v>22</v>
      </c>
      <c r="J25" s="14">
        <f t="shared" si="3"/>
        <v>35</v>
      </c>
      <c r="K25" s="14">
        <f t="shared" si="4"/>
        <v>75</v>
      </c>
    </row>
    <row r="26" spans="1:11" s="6" customFormat="1" ht="23.1" customHeight="1">
      <c r="A26" s="10">
        <v>18</v>
      </c>
      <c r="B26" s="11" t="s">
        <v>101</v>
      </c>
      <c r="C26" s="12">
        <v>8041010</v>
      </c>
      <c r="D26" s="13">
        <v>14</v>
      </c>
      <c r="E26" s="13">
        <v>15</v>
      </c>
      <c r="F26" s="13">
        <v>15</v>
      </c>
      <c r="G26" s="14">
        <f t="shared" si="2"/>
        <v>39.111111111111114</v>
      </c>
      <c r="H26" s="14">
        <v>9</v>
      </c>
      <c r="I26" s="14">
        <v>24</v>
      </c>
      <c r="J26" s="14">
        <f t="shared" si="3"/>
        <v>33</v>
      </c>
      <c r="K26" s="14">
        <f t="shared" si="4"/>
        <v>72.111111111111114</v>
      </c>
    </row>
    <row r="27" spans="1:11" s="6" customFormat="1" ht="23.1" customHeight="1">
      <c r="A27" s="10">
        <v>19</v>
      </c>
      <c r="B27" s="11" t="s">
        <v>81</v>
      </c>
      <c r="C27" s="12">
        <v>7975225</v>
      </c>
      <c r="D27" s="13">
        <v>14</v>
      </c>
      <c r="E27" s="13">
        <v>15</v>
      </c>
      <c r="F27" s="13">
        <v>15</v>
      </c>
      <c r="G27" s="14">
        <f t="shared" si="2"/>
        <v>39.111111111111114</v>
      </c>
      <c r="H27" s="14">
        <v>19</v>
      </c>
      <c r="I27" s="14">
        <v>18</v>
      </c>
      <c r="J27" s="14">
        <f t="shared" si="3"/>
        <v>37</v>
      </c>
      <c r="K27" s="14">
        <f t="shared" si="4"/>
        <v>76.111111111111114</v>
      </c>
    </row>
    <row r="28" spans="1:11" s="6" customFormat="1" ht="23.1" customHeight="1">
      <c r="A28" s="10">
        <v>20</v>
      </c>
      <c r="B28" s="11" t="s">
        <v>92</v>
      </c>
      <c r="C28" s="12">
        <v>6259894</v>
      </c>
      <c r="D28" s="13">
        <v>15</v>
      </c>
      <c r="E28" s="13">
        <v>15</v>
      </c>
      <c r="F28" s="13">
        <v>15</v>
      </c>
      <c r="G28" s="14">
        <f t="shared" si="2"/>
        <v>40</v>
      </c>
      <c r="H28" s="14">
        <v>13</v>
      </c>
      <c r="I28" s="14">
        <v>21</v>
      </c>
      <c r="J28" s="14">
        <f t="shared" si="3"/>
        <v>34</v>
      </c>
      <c r="K28" s="14">
        <f t="shared" si="4"/>
        <v>74</v>
      </c>
    </row>
    <row r="29" spans="1:11" s="6" customFormat="1" ht="23.1" customHeight="1">
      <c r="A29" s="10">
        <v>21</v>
      </c>
      <c r="B29" s="11" t="s">
        <v>99</v>
      </c>
      <c r="C29" s="12">
        <v>6527964</v>
      </c>
      <c r="D29" s="13">
        <v>15</v>
      </c>
      <c r="E29" s="13">
        <v>15</v>
      </c>
      <c r="F29" s="13">
        <v>15</v>
      </c>
      <c r="G29" s="14">
        <f t="shared" si="2"/>
        <v>40</v>
      </c>
      <c r="H29" s="14">
        <v>11</v>
      </c>
      <c r="I29" s="14">
        <v>22</v>
      </c>
      <c r="J29" s="14">
        <f t="shared" si="3"/>
        <v>33</v>
      </c>
      <c r="K29" s="14">
        <f t="shared" si="4"/>
        <v>73</v>
      </c>
    </row>
    <row r="30" spans="1:11" s="6" customFormat="1" ht="23.1" customHeight="1">
      <c r="A30" s="10">
        <v>22</v>
      </c>
      <c r="B30" s="11" t="s">
        <v>89</v>
      </c>
      <c r="C30" s="12">
        <v>6122315</v>
      </c>
      <c r="D30" s="13">
        <v>14</v>
      </c>
      <c r="E30" s="13">
        <v>12</v>
      </c>
      <c r="F30" s="13">
        <v>14</v>
      </c>
      <c r="G30" s="14">
        <f t="shared" si="2"/>
        <v>35.555555555555557</v>
      </c>
      <c r="H30" s="14">
        <v>19</v>
      </c>
      <c r="I30" s="14">
        <v>20</v>
      </c>
      <c r="J30" s="14">
        <f t="shared" si="3"/>
        <v>39</v>
      </c>
      <c r="K30" s="14">
        <f t="shared" si="4"/>
        <v>74.555555555555557</v>
      </c>
    </row>
    <row r="31" spans="1:11" s="6" customFormat="1" ht="23.1" customHeight="1">
      <c r="A31" s="10">
        <v>23</v>
      </c>
      <c r="B31" s="11" t="s">
        <v>83</v>
      </c>
      <c r="C31" s="12">
        <v>6155355</v>
      </c>
      <c r="D31" s="13">
        <v>15</v>
      </c>
      <c r="E31" s="13">
        <v>15</v>
      </c>
      <c r="F31" s="13">
        <v>15</v>
      </c>
      <c r="G31" s="14">
        <f t="shared" si="2"/>
        <v>40</v>
      </c>
      <c r="H31" s="14">
        <v>15</v>
      </c>
      <c r="I31" s="14">
        <v>21</v>
      </c>
      <c r="J31" s="14">
        <f t="shared" si="3"/>
        <v>36</v>
      </c>
      <c r="K31" s="14">
        <f t="shared" si="4"/>
        <v>76</v>
      </c>
    </row>
    <row r="32" spans="1:11" s="6" customFormat="1" ht="23.1" customHeight="1">
      <c r="A32" s="10">
        <v>24</v>
      </c>
      <c r="B32" s="11" t="s">
        <v>78</v>
      </c>
      <c r="C32" s="12">
        <v>6813457</v>
      </c>
      <c r="D32" s="13">
        <v>13</v>
      </c>
      <c r="E32" s="13">
        <v>12</v>
      </c>
      <c r="F32" s="13">
        <v>13</v>
      </c>
      <c r="G32" s="14">
        <f t="shared" si="2"/>
        <v>33.777777777777779</v>
      </c>
      <c r="H32" s="14">
        <v>23</v>
      </c>
      <c r="I32" s="14">
        <v>20</v>
      </c>
      <c r="J32" s="14">
        <f t="shared" si="3"/>
        <v>43</v>
      </c>
      <c r="K32" s="14">
        <f t="shared" si="4"/>
        <v>76.777777777777771</v>
      </c>
    </row>
    <row r="33" spans="1:11" s="6" customFormat="1" ht="23.1" customHeight="1">
      <c r="A33" s="10">
        <v>25</v>
      </c>
      <c r="B33" s="11" t="s">
        <v>84</v>
      </c>
      <c r="C33" s="12">
        <v>6132791</v>
      </c>
      <c r="D33" s="13">
        <v>14</v>
      </c>
      <c r="E33" s="13">
        <v>11</v>
      </c>
      <c r="F33" s="13">
        <v>15</v>
      </c>
      <c r="G33" s="14">
        <f t="shared" si="2"/>
        <v>35.555555555555557</v>
      </c>
      <c r="H33" s="14">
        <v>23</v>
      </c>
      <c r="I33" s="14">
        <v>17</v>
      </c>
      <c r="J33" s="14">
        <f t="shared" si="3"/>
        <v>40</v>
      </c>
      <c r="K33" s="14">
        <f t="shared" si="4"/>
        <v>75.555555555555557</v>
      </c>
    </row>
    <row r="34" spans="1:11" s="6" customFormat="1" ht="23.1" customHeight="1">
      <c r="A34" s="10">
        <v>26</v>
      </c>
      <c r="B34" s="11" t="s">
        <v>100</v>
      </c>
      <c r="C34" s="12">
        <v>7199252</v>
      </c>
      <c r="D34" s="13">
        <v>15</v>
      </c>
      <c r="E34" s="13">
        <v>15</v>
      </c>
      <c r="F34" s="13">
        <v>15</v>
      </c>
      <c r="G34" s="14">
        <f t="shared" si="2"/>
        <v>40</v>
      </c>
      <c r="H34" s="14">
        <v>17</v>
      </c>
      <c r="I34" s="14">
        <v>16</v>
      </c>
      <c r="J34" s="14">
        <f t="shared" si="3"/>
        <v>33</v>
      </c>
      <c r="K34" s="14">
        <f t="shared" si="4"/>
        <v>73</v>
      </c>
    </row>
    <row r="35" spans="1:11" s="6" customFormat="1" ht="23.1" customHeight="1">
      <c r="A35" s="10">
        <v>27</v>
      </c>
      <c r="B35" s="11" t="s">
        <v>102</v>
      </c>
      <c r="C35" s="12">
        <v>6678653</v>
      </c>
      <c r="D35" s="13">
        <v>14</v>
      </c>
      <c r="E35" s="13">
        <v>15</v>
      </c>
      <c r="F35" s="13">
        <v>15</v>
      </c>
      <c r="G35" s="14">
        <f t="shared" si="2"/>
        <v>39.111111111111114</v>
      </c>
      <c r="H35" s="14">
        <v>17</v>
      </c>
      <c r="I35" s="14">
        <v>16</v>
      </c>
      <c r="J35" s="14">
        <f t="shared" si="3"/>
        <v>33</v>
      </c>
      <c r="K35" s="14">
        <f t="shared" si="4"/>
        <v>72.111111111111114</v>
      </c>
    </row>
    <row r="36" spans="1:11" s="6" customFormat="1" ht="23.1" customHeight="1">
      <c r="A36" s="10">
        <v>28</v>
      </c>
      <c r="B36" s="11" t="s">
        <v>104</v>
      </c>
      <c r="C36" s="12">
        <v>5966323</v>
      </c>
      <c r="D36" s="13">
        <v>15</v>
      </c>
      <c r="E36" s="13">
        <v>15</v>
      </c>
      <c r="F36" s="13">
        <v>15</v>
      </c>
      <c r="G36" s="14">
        <f t="shared" si="2"/>
        <v>40</v>
      </c>
      <c r="H36" s="14">
        <v>13</v>
      </c>
      <c r="I36" s="14">
        <v>19</v>
      </c>
      <c r="J36" s="14">
        <f t="shared" si="3"/>
        <v>32</v>
      </c>
      <c r="K36" s="14">
        <f t="shared" si="4"/>
        <v>72</v>
      </c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O15" sqref="O15"/>
    </sheetView>
  </sheetViews>
  <sheetFormatPr baseColWidth="10" defaultRowHeight="15"/>
  <cols>
    <col min="1" max="1" width="4.85546875" bestFit="1" customWidth="1"/>
    <col min="2" max="2" width="47.28515625" customWidth="1"/>
    <col min="3" max="3" width="10.5703125" customWidth="1"/>
    <col min="4" max="6" width="5.7109375" customWidth="1"/>
    <col min="7" max="11" width="6.7109375" customWidth="1"/>
  </cols>
  <sheetData>
    <row r="1" spans="1:1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3">
      <c r="A4" s="24" t="s">
        <v>21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3" ht="15.75">
      <c r="A5" s="26" t="s">
        <v>19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3" ht="35.1" customHeight="1">
      <c r="A6" s="27" t="s">
        <v>3</v>
      </c>
      <c r="B6" s="27" t="s">
        <v>4</v>
      </c>
      <c r="C6" s="28" t="s">
        <v>5</v>
      </c>
      <c r="D6" s="29" t="s">
        <v>6</v>
      </c>
      <c r="E6" s="29"/>
      <c r="F6" s="29"/>
      <c r="G6" s="19" t="s">
        <v>7</v>
      </c>
      <c r="H6" s="17" t="s">
        <v>8</v>
      </c>
      <c r="I6" s="18"/>
      <c r="J6" s="19" t="s">
        <v>9</v>
      </c>
      <c r="K6" s="19" t="s">
        <v>10</v>
      </c>
    </row>
    <row r="7" spans="1:13" ht="30" customHeight="1">
      <c r="A7" s="27"/>
      <c r="B7" s="27"/>
      <c r="C7" s="28"/>
      <c r="D7" s="5" t="s">
        <v>11</v>
      </c>
      <c r="E7" s="5" t="s">
        <v>12</v>
      </c>
      <c r="F7" s="5" t="s">
        <v>13</v>
      </c>
      <c r="G7" s="20"/>
      <c r="H7" s="4" t="s">
        <v>14</v>
      </c>
      <c r="I7" s="4" t="s">
        <v>15</v>
      </c>
      <c r="J7" s="20"/>
      <c r="K7" s="20"/>
    </row>
    <row r="8" spans="1:13">
      <c r="A8" s="21" t="s">
        <v>16</v>
      </c>
      <c r="B8" s="22"/>
      <c r="C8" s="23"/>
      <c r="D8" s="1">
        <v>15</v>
      </c>
      <c r="E8" s="1">
        <v>15</v>
      </c>
      <c r="F8" s="1">
        <v>15</v>
      </c>
      <c r="G8" s="2">
        <f t="shared" ref="G8" si="0">SUM(D8:F8)*100/45*0.4</f>
        <v>40</v>
      </c>
      <c r="H8" s="1">
        <v>30</v>
      </c>
      <c r="I8" s="1">
        <v>30</v>
      </c>
      <c r="J8" s="2">
        <f t="shared" ref="J8" si="1">SUM(H8:I8)</f>
        <v>60</v>
      </c>
      <c r="K8" s="3">
        <f>J8+G8</f>
        <v>100</v>
      </c>
    </row>
    <row r="9" spans="1:13" s="6" customFormat="1" ht="23.1" customHeight="1">
      <c r="A9" s="10">
        <v>1</v>
      </c>
      <c r="B9" s="11" t="s">
        <v>52</v>
      </c>
      <c r="C9" s="12">
        <v>6004450</v>
      </c>
      <c r="D9" s="13">
        <v>14</v>
      </c>
      <c r="E9" s="13">
        <v>11</v>
      </c>
      <c r="F9" s="13">
        <v>12</v>
      </c>
      <c r="G9" s="14">
        <f t="shared" ref="G9:G36" si="2">SUM(D9:F9)*100/45*0.4</f>
        <v>32.888888888888893</v>
      </c>
      <c r="H9" s="14">
        <v>21</v>
      </c>
      <c r="I9" s="14">
        <v>17</v>
      </c>
      <c r="J9" s="14">
        <f t="shared" ref="J9:J36" si="3">SUM(H9:I9)</f>
        <v>38</v>
      </c>
      <c r="K9" s="14">
        <f t="shared" ref="K9:K36" si="4">G9+J9</f>
        <v>70.888888888888886</v>
      </c>
    </row>
    <row r="10" spans="1:13" s="6" customFormat="1" ht="23.1" customHeight="1">
      <c r="A10" s="10">
        <v>2</v>
      </c>
      <c r="B10" s="11" t="s">
        <v>62</v>
      </c>
      <c r="C10" s="12">
        <v>5888211</v>
      </c>
      <c r="D10" s="13">
        <v>14</v>
      </c>
      <c r="E10" s="13">
        <v>14</v>
      </c>
      <c r="F10" s="13">
        <v>14</v>
      </c>
      <c r="G10" s="14">
        <f t="shared" si="2"/>
        <v>37.333333333333336</v>
      </c>
      <c r="H10" s="14">
        <v>13</v>
      </c>
      <c r="I10" s="14">
        <v>19</v>
      </c>
      <c r="J10" s="14">
        <f t="shared" si="3"/>
        <v>32</v>
      </c>
      <c r="K10" s="14">
        <f t="shared" si="4"/>
        <v>69.333333333333343</v>
      </c>
    </row>
    <row r="11" spans="1:13" s="6" customFormat="1" ht="23.1" customHeight="1">
      <c r="A11" s="10">
        <v>3</v>
      </c>
      <c r="B11" s="11" t="s">
        <v>59</v>
      </c>
      <c r="C11" s="12">
        <v>5781509</v>
      </c>
      <c r="D11" s="13">
        <v>14</v>
      </c>
      <c r="E11" s="13">
        <v>15</v>
      </c>
      <c r="F11" s="13">
        <v>15</v>
      </c>
      <c r="G11" s="14">
        <f t="shared" si="2"/>
        <v>39.111111111111114</v>
      </c>
      <c r="H11" s="14">
        <v>12</v>
      </c>
      <c r="I11" s="14">
        <v>19</v>
      </c>
      <c r="J11" s="14">
        <f t="shared" si="3"/>
        <v>31</v>
      </c>
      <c r="K11" s="14">
        <f t="shared" si="4"/>
        <v>70.111111111111114</v>
      </c>
    </row>
    <row r="12" spans="1:13" s="6" customFormat="1" ht="23.1" customHeight="1">
      <c r="A12" s="10">
        <v>4</v>
      </c>
      <c r="B12" s="11" t="s">
        <v>69</v>
      </c>
      <c r="C12" s="12">
        <v>7625768</v>
      </c>
      <c r="D12" s="13">
        <v>15</v>
      </c>
      <c r="E12" s="13">
        <v>9</v>
      </c>
      <c r="F12" s="13">
        <v>15</v>
      </c>
      <c r="G12" s="14">
        <f t="shared" si="2"/>
        <v>34.666666666666671</v>
      </c>
      <c r="H12" s="14">
        <v>16</v>
      </c>
      <c r="I12" s="14">
        <v>18</v>
      </c>
      <c r="J12" s="14">
        <f t="shared" si="3"/>
        <v>34</v>
      </c>
      <c r="K12" s="14">
        <f t="shared" si="4"/>
        <v>68.666666666666671</v>
      </c>
      <c r="M12" s="6" t="s">
        <v>20</v>
      </c>
    </row>
    <row r="13" spans="1:13" s="6" customFormat="1" ht="23.1" customHeight="1">
      <c r="A13" s="10">
        <v>5</v>
      </c>
      <c r="B13" s="11" t="s">
        <v>56</v>
      </c>
      <c r="C13" s="12">
        <v>7079329</v>
      </c>
      <c r="D13" s="13">
        <v>12</v>
      </c>
      <c r="E13" s="13">
        <v>15</v>
      </c>
      <c r="F13" s="13">
        <v>15</v>
      </c>
      <c r="G13" s="14">
        <f t="shared" si="2"/>
        <v>37.333333333333336</v>
      </c>
      <c r="H13" s="14">
        <v>15</v>
      </c>
      <c r="I13" s="14">
        <v>18</v>
      </c>
      <c r="J13" s="14">
        <f t="shared" si="3"/>
        <v>33</v>
      </c>
      <c r="K13" s="14">
        <f t="shared" si="4"/>
        <v>70.333333333333343</v>
      </c>
    </row>
    <row r="14" spans="1:13" s="6" customFormat="1" ht="23.1" customHeight="1">
      <c r="A14" s="10">
        <v>6</v>
      </c>
      <c r="B14" s="11" t="s">
        <v>63</v>
      </c>
      <c r="C14" s="12">
        <v>7491817</v>
      </c>
      <c r="D14" s="13">
        <v>15</v>
      </c>
      <c r="E14" s="13">
        <v>13</v>
      </c>
      <c r="F14" s="13">
        <v>15</v>
      </c>
      <c r="G14" s="14">
        <f t="shared" si="2"/>
        <v>38.222222222222221</v>
      </c>
      <c r="H14" s="14">
        <v>14</v>
      </c>
      <c r="I14" s="14">
        <v>17</v>
      </c>
      <c r="J14" s="14">
        <f t="shared" si="3"/>
        <v>31</v>
      </c>
      <c r="K14" s="14">
        <f t="shared" si="4"/>
        <v>69.222222222222229</v>
      </c>
    </row>
    <row r="15" spans="1:13" s="6" customFormat="1" ht="23.1" customHeight="1">
      <c r="A15" s="10">
        <v>7</v>
      </c>
      <c r="B15" s="11" t="s">
        <v>58</v>
      </c>
      <c r="C15" s="12">
        <v>6904936</v>
      </c>
      <c r="D15" s="13">
        <v>14</v>
      </c>
      <c r="E15" s="13">
        <v>14</v>
      </c>
      <c r="F15" s="13">
        <v>15</v>
      </c>
      <c r="G15" s="14">
        <f t="shared" si="2"/>
        <v>38.222222222222221</v>
      </c>
      <c r="H15" s="14">
        <v>14</v>
      </c>
      <c r="I15" s="14">
        <v>18</v>
      </c>
      <c r="J15" s="14">
        <f t="shared" si="3"/>
        <v>32</v>
      </c>
      <c r="K15" s="14">
        <f t="shared" si="4"/>
        <v>70.222222222222229</v>
      </c>
    </row>
    <row r="16" spans="1:13" s="6" customFormat="1" ht="23.1" customHeight="1">
      <c r="A16" s="10">
        <v>8</v>
      </c>
      <c r="B16" s="11" t="s">
        <v>73</v>
      </c>
      <c r="C16" s="12">
        <v>5742242</v>
      </c>
      <c r="D16" s="13">
        <v>13</v>
      </c>
      <c r="E16" s="13">
        <v>14</v>
      </c>
      <c r="F16" s="13">
        <v>15</v>
      </c>
      <c r="G16" s="14">
        <f t="shared" si="2"/>
        <v>37.333333333333336</v>
      </c>
      <c r="H16" s="14">
        <v>12</v>
      </c>
      <c r="I16" s="14">
        <v>19</v>
      </c>
      <c r="J16" s="14">
        <f t="shared" si="3"/>
        <v>31</v>
      </c>
      <c r="K16" s="14">
        <f t="shared" si="4"/>
        <v>68.333333333333343</v>
      </c>
    </row>
    <row r="17" spans="1:11" s="6" customFormat="1" ht="23.1" customHeight="1">
      <c r="A17" s="10">
        <v>9</v>
      </c>
      <c r="B17" s="11" t="s">
        <v>65</v>
      </c>
      <c r="C17" s="12">
        <v>5780293</v>
      </c>
      <c r="D17" s="13">
        <v>15</v>
      </c>
      <c r="E17" s="13">
        <v>15</v>
      </c>
      <c r="F17" s="13">
        <v>15</v>
      </c>
      <c r="G17" s="14">
        <f t="shared" si="2"/>
        <v>40</v>
      </c>
      <c r="H17" s="14">
        <v>14</v>
      </c>
      <c r="I17" s="14">
        <v>15</v>
      </c>
      <c r="J17" s="14">
        <f t="shared" si="3"/>
        <v>29</v>
      </c>
      <c r="K17" s="14">
        <f t="shared" si="4"/>
        <v>69</v>
      </c>
    </row>
    <row r="18" spans="1:11" s="6" customFormat="1" ht="23.1" customHeight="1">
      <c r="A18" s="10">
        <v>10</v>
      </c>
      <c r="B18" s="11" t="s">
        <v>60</v>
      </c>
      <c r="C18" s="12">
        <v>6336042</v>
      </c>
      <c r="D18" s="13">
        <v>15</v>
      </c>
      <c r="E18" s="13">
        <v>14</v>
      </c>
      <c r="F18" s="13">
        <v>15</v>
      </c>
      <c r="G18" s="14">
        <f t="shared" si="2"/>
        <v>39.111111111111114</v>
      </c>
      <c r="H18" s="14">
        <v>13</v>
      </c>
      <c r="I18" s="14">
        <v>18</v>
      </c>
      <c r="J18" s="14">
        <f t="shared" si="3"/>
        <v>31</v>
      </c>
      <c r="K18" s="14">
        <f t="shared" si="4"/>
        <v>70.111111111111114</v>
      </c>
    </row>
    <row r="19" spans="1:11" s="6" customFormat="1" ht="23.1" customHeight="1">
      <c r="A19" s="10">
        <v>11</v>
      </c>
      <c r="B19" s="11" t="s">
        <v>53</v>
      </c>
      <c r="C19" s="12">
        <v>7089322</v>
      </c>
      <c r="D19" s="13">
        <v>12</v>
      </c>
      <c r="E19" s="13">
        <v>13</v>
      </c>
      <c r="F19" s="13">
        <v>13</v>
      </c>
      <c r="G19" s="14">
        <f t="shared" si="2"/>
        <v>33.777777777777779</v>
      </c>
      <c r="H19" s="14">
        <v>18</v>
      </c>
      <c r="I19" s="14">
        <v>19</v>
      </c>
      <c r="J19" s="14">
        <f t="shared" si="3"/>
        <v>37</v>
      </c>
      <c r="K19" s="14">
        <f t="shared" si="4"/>
        <v>70.777777777777771</v>
      </c>
    </row>
    <row r="20" spans="1:11" s="6" customFormat="1" ht="23.1" customHeight="1">
      <c r="A20" s="10">
        <v>12</v>
      </c>
      <c r="B20" s="11" t="s">
        <v>70</v>
      </c>
      <c r="C20" s="12">
        <v>5837181</v>
      </c>
      <c r="D20" s="13">
        <v>13</v>
      </c>
      <c r="E20" s="13">
        <v>13</v>
      </c>
      <c r="F20" s="13">
        <v>14</v>
      </c>
      <c r="G20" s="14">
        <f t="shared" si="2"/>
        <v>35.555555555555557</v>
      </c>
      <c r="H20" s="14">
        <v>13</v>
      </c>
      <c r="I20" s="14">
        <v>20</v>
      </c>
      <c r="J20" s="14">
        <f t="shared" si="3"/>
        <v>33</v>
      </c>
      <c r="K20" s="14">
        <f t="shared" si="4"/>
        <v>68.555555555555557</v>
      </c>
    </row>
    <row r="21" spans="1:11" s="6" customFormat="1" ht="23.1" customHeight="1">
      <c r="A21" s="10">
        <v>13</v>
      </c>
      <c r="B21" s="11" t="s">
        <v>76</v>
      </c>
      <c r="C21" s="12">
        <v>7398994</v>
      </c>
      <c r="D21" s="13">
        <v>14</v>
      </c>
      <c r="E21" s="13">
        <v>15</v>
      </c>
      <c r="F21" s="13">
        <v>15</v>
      </c>
      <c r="G21" s="14">
        <f t="shared" si="2"/>
        <v>39.111111111111114</v>
      </c>
      <c r="H21" s="14">
        <v>10</v>
      </c>
      <c r="I21" s="14">
        <v>19</v>
      </c>
      <c r="J21" s="14">
        <f t="shared" si="3"/>
        <v>29</v>
      </c>
      <c r="K21" s="14">
        <f t="shared" si="4"/>
        <v>68.111111111111114</v>
      </c>
    </row>
    <row r="22" spans="1:11" s="6" customFormat="1" ht="23.1" customHeight="1">
      <c r="A22" s="10">
        <v>14</v>
      </c>
      <c r="B22" s="11" t="s">
        <v>74</v>
      </c>
      <c r="C22" s="12">
        <v>6501298</v>
      </c>
      <c r="D22" s="13">
        <v>12</v>
      </c>
      <c r="E22" s="13">
        <v>15</v>
      </c>
      <c r="F22" s="13">
        <v>15</v>
      </c>
      <c r="G22" s="14">
        <f t="shared" si="2"/>
        <v>37.333333333333336</v>
      </c>
      <c r="H22" s="14">
        <v>10</v>
      </c>
      <c r="I22" s="14">
        <v>21</v>
      </c>
      <c r="J22" s="14">
        <f t="shared" si="3"/>
        <v>31</v>
      </c>
      <c r="K22" s="14">
        <f t="shared" si="4"/>
        <v>68.333333333333343</v>
      </c>
    </row>
    <row r="23" spans="1:11" s="6" customFormat="1" ht="23.1" customHeight="1">
      <c r="A23" s="10">
        <v>15</v>
      </c>
      <c r="B23" s="11" t="s">
        <v>66</v>
      </c>
      <c r="C23" s="12">
        <v>5725021</v>
      </c>
      <c r="D23" s="13">
        <v>13</v>
      </c>
      <c r="E23" s="13">
        <v>9</v>
      </c>
      <c r="F23" s="13">
        <v>14</v>
      </c>
      <c r="G23" s="14">
        <f t="shared" si="2"/>
        <v>32</v>
      </c>
      <c r="H23" s="14">
        <v>18</v>
      </c>
      <c r="I23" s="14">
        <v>19</v>
      </c>
      <c r="J23" s="14">
        <f t="shared" si="3"/>
        <v>37</v>
      </c>
      <c r="K23" s="14">
        <f t="shared" si="4"/>
        <v>69</v>
      </c>
    </row>
    <row r="24" spans="1:11" s="6" customFormat="1" ht="23.1" customHeight="1">
      <c r="A24" s="10">
        <v>16</v>
      </c>
      <c r="B24" s="11" t="s">
        <v>54</v>
      </c>
      <c r="C24" s="12">
        <v>6254891</v>
      </c>
      <c r="D24" s="13">
        <v>13</v>
      </c>
      <c r="E24" s="13">
        <v>15</v>
      </c>
      <c r="F24" s="13">
        <v>11</v>
      </c>
      <c r="G24" s="14">
        <f t="shared" si="2"/>
        <v>34.666666666666671</v>
      </c>
      <c r="H24" s="14">
        <v>15</v>
      </c>
      <c r="I24" s="14">
        <v>21</v>
      </c>
      <c r="J24" s="14">
        <f t="shared" si="3"/>
        <v>36</v>
      </c>
      <c r="K24" s="14">
        <f t="shared" si="4"/>
        <v>70.666666666666671</v>
      </c>
    </row>
    <row r="25" spans="1:11" s="6" customFormat="1" ht="23.1" customHeight="1">
      <c r="A25" s="10">
        <v>17</v>
      </c>
      <c r="B25" s="11" t="s">
        <v>77</v>
      </c>
      <c r="C25" s="12">
        <v>7544423</v>
      </c>
      <c r="D25" s="13">
        <v>14</v>
      </c>
      <c r="E25" s="13">
        <v>15</v>
      </c>
      <c r="F25" s="13">
        <v>15</v>
      </c>
      <c r="G25" s="14">
        <f t="shared" si="2"/>
        <v>39.111111111111114</v>
      </c>
      <c r="H25" s="14">
        <v>12</v>
      </c>
      <c r="I25" s="14">
        <v>17</v>
      </c>
      <c r="J25" s="14">
        <f t="shared" si="3"/>
        <v>29</v>
      </c>
      <c r="K25" s="14">
        <f t="shared" si="4"/>
        <v>68.111111111111114</v>
      </c>
    </row>
    <row r="26" spans="1:11" s="6" customFormat="1" ht="23.1" customHeight="1">
      <c r="A26" s="10">
        <v>18</v>
      </c>
      <c r="B26" s="11" t="s">
        <v>61</v>
      </c>
      <c r="C26" s="12">
        <v>6514958</v>
      </c>
      <c r="D26" s="13">
        <v>15</v>
      </c>
      <c r="E26" s="13">
        <v>15</v>
      </c>
      <c r="F26" s="13">
        <v>15</v>
      </c>
      <c r="G26" s="14">
        <f t="shared" si="2"/>
        <v>40</v>
      </c>
      <c r="H26" s="14">
        <v>14</v>
      </c>
      <c r="I26" s="14">
        <v>16</v>
      </c>
      <c r="J26" s="14">
        <f t="shared" si="3"/>
        <v>30</v>
      </c>
      <c r="K26" s="14">
        <f t="shared" si="4"/>
        <v>70</v>
      </c>
    </row>
    <row r="27" spans="1:11" s="6" customFormat="1" ht="23.1" customHeight="1">
      <c r="A27" s="10">
        <v>19</v>
      </c>
      <c r="B27" s="11" t="s">
        <v>51</v>
      </c>
      <c r="C27" s="12">
        <v>6218080</v>
      </c>
      <c r="D27" s="13">
        <v>13</v>
      </c>
      <c r="E27" s="13">
        <v>15</v>
      </c>
      <c r="F27" s="13">
        <v>14</v>
      </c>
      <c r="G27" s="14">
        <f t="shared" si="2"/>
        <v>37.333333333333336</v>
      </c>
      <c r="H27" s="14">
        <v>12</v>
      </c>
      <c r="I27" s="14">
        <v>22</v>
      </c>
      <c r="J27" s="14">
        <f t="shared" si="3"/>
        <v>34</v>
      </c>
      <c r="K27" s="14">
        <f t="shared" si="4"/>
        <v>71.333333333333343</v>
      </c>
    </row>
    <row r="28" spans="1:11" s="6" customFormat="1" ht="23.1" customHeight="1">
      <c r="A28" s="10">
        <v>20</v>
      </c>
      <c r="B28" s="11" t="s">
        <v>72</v>
      </c>
      <c r="C28" s="12">
        <v>5738285</v>
      </c>
      <c r="D28" s="13">
        <v>12</v>
      </c>
      <c r="E28" s="13">
        <v>15</v>
      </c>
      <c r="F28" s="13">
        <v>14</v>
      </c>
      <c r="G28" s="14">
        <f t="shared" si="2"/>
        <v>36.44444444444445</v>
      </c>
      <c r="H28" s="14">
        <v>12</v>
      </c>
      <c r="I28" s="14">
        <v>20</v>
      </c>
      <c r="J28" s="14">
        <f t="shared" si="3"/>
        <v>32</v>
      </c>
      <c r="K28" s="14">
        <f t="shared" si="4"/>
        <v>68.444444444444457</v>
      </c>
    </row>
    <row r="29" spans="1:11" s="6" customFormat="1" ht="23.1" customHeight="1">
      <c r="A29" s="10">
        <v>21</v>
      </c>
      <c r="B29" s="11" t="s">
        <v>68</v>
      </c>
      <c r="C29" s="12">
        <v>5596542</v>
      </c>
      <c r="D29" s="13">
        <v>12</v>
      </c>
      <c r="E29" s="13">
        <v>13</v>
      </c>
      <c r="F29" s="13">
        <v>12</v>
      </c>
      <c r="G29" s="14">
        <f t="shared" si="2"/>
        <v>32.888888888888893</v>
      </c>
      <c r="H29" s="14">
        <v>17</v>
      </c>
      <c r="I29" s="14">
        <v>19</v>
      </c>
      <c r="J29" s="14">
        <f t="shared" si="3"/>
        <v>36</v>
      </c>
      <c r="K29" s="14">
        <f t="shared" si="4"/>
        <v>68.888888888888886</v>
      </c>
    </row>
    <row r="30" spans="1:11" s="6" customFormat="1" ht="23.1" customHeight="1">
      <c r="A30" s="10">
        <v>22</v>
      </c>
      <c r="B30" s="11" t="s">
        <v>57</v>
      </c>
      <c r="C30" s="12">
        <v>5866861</v>
      </c>
      <c r="D30" s="13">
        <v>14</v>
      </c>
      <c r="E30" s="13">
        <v>13</v>
      </c>
      <c r="F30" s="13">
        <v>15</v>
      </c>
      <c r="G30" s="14">
        <f t="shared" si="2"/>
        <v>37.333333333333336</v>
      </c>
      <c r="H30" s="14">
        <v>15</v>
      </c>
      <c r="I30" s="14">
        <v>18</v>
      </c>
      <c r="J30" s="14">
        <f t="shared" si="3"/>
        <v>33</v>
      </c>
      <c r="K30" s="14">
        <f t="shared" si="4"/>
        <v>70.333333333333343</v>
      </c>
    </row>
    <row r="31" spans="1:11" s="6" customFormat="1" ht="23.1" customHeight="1">
      <c r="A31" s="10">
        <v>23</v>
      </c>
      <c r="B31" s="11" t="s">
        <v>55</v>
      </c>
      <c r="C31" s="12">
        <v>5888753</v>
      </c>
      <c r="D31" s="13">
        <v>13</v>
      </c>
      <c r="E31" s="13">
        <v>14</v>
      </c>
      <c r="F31" s="13">
        <v>14</v>
      </c>
      <c r="G31" s="14">
        <f t="shared" si="2"/>
        <v>36.44444444444445</v>
      </c>
      <c r="H31" s="14">
        <v>12</v>
      </c>
      <c r="I31" s="14">
        <v>22</v>
      </c>
      <c r="J31" s="14">
        <f t="shared" si="3"/>
        <v>34</v>
      </c>
      <c r="K31" s="14">
        <f t="shared" si="4"/>
        <v>70.444444444444457</v>
      </c>
    </row>
    <row r="32" spans="1:11" s="6" customFormat="1" ht="23.1" customHeight="1">
      <c r="A32" s="10">
        <v>24</v>
      </c>
      <c r="B32" s="11" t="s">
        <v>50</v>
      </c>
      <c r="C32" s="12">
        <v>5661180</v>
      </c>
      <c r="D32" s="13">
        <v>15</v>
      </c>
      <c r="E32" s="13">
        <v>11</v>
      </c>
      <c r="F32" s="13">
        <v>15</v>
      </c>
      <c r="G32" s="14">
        <f t="shared" si="2"/>
        <v>36.44444444444445</v>
      </c>
      <c r="H32" s="14">
        <v>16</v>
      </c>
      <c r="I32" s="14">
        <v>19</v>
      </c>
      <c r="J32" s="14">
        <f t="shared" si="3"/>
        <v>35</v>
      </c>
      <c r="K32" s="14">
        <f t="shared" si="4"/>
        <v>71.444444444444457</v>
      </c>
    </row>
    <row r="33" spans="1:11" s="6" customFormat="1" ht="23.1" customHeight="1">
      <c r="A33" s="10">
        <v>25</v>
      </c>
      <c r="B33" s="11" t="s">
        <v>71</v>
      </c>
      <c r="C33" s="12">
        <v>5736296</v>
      </c>
      <c r="D33" s="13">
        <v>12</v>
      </c>
      <c r="E33" s="13">
        <v>13</v>
      </c>
      <c r="F33" s="13">
        <v>15</v>
      </c>
      <c r="G33" s="14">
        <f t="shared" si="2"/>
        <v>35.555555555555557</v>
      </c>
      <c r="H33" s="14">
        <v>16</v>
      </c>
      <c r="I33" s="14">
        <v>17</v>
      </c>
      <c r="J33" s="14">
        <f t="shared" si="3"/>
        <v>33</v>
      </c>
      <c r="K33" s="14">
        <f t="shared" si="4"/>
        <v>68.555555555555557</v>
      </c>
    </row>
    <row r="34" spans="1:11" s="6" customFormat="1" ht="23.1" customHeight="1">
      <c r="A34" s="10">
        <v>26</v>
      </c>
      <c r="B34" s="11" t="s">
        <v>67</v>
      </c>
      <c r="C34" s="12">
        <v>7482686</v>
      </c>
      <c r="D34" s="13">
        <v>15</v>
      </c>
      <c r="E34" s="13">
        <v>15</v>
      </c>
      <c r="F34" s="13">
        <v>15</v>
      </c>
      <c r="G34" s="14">
        <f t="shared" si="2"/>
        <v>40</v>
      </c>
      <c r="H34" s="14">
        <v>15</v>
      </c>
      <c r="I34" s="14">
        <v>14</v>
      </c>
      <c r="J34" s="14">
        <f t="shared" si="3"/>
        <v>29</v>
      </c>
      <c r="K34" s="14">
        <f t="shared" si="4"/>
        <v>69</v>
      </c>
    </row>
    <row r="35" spans="1:11" s="6" customFormat="1" ht="23.1" customHeight="1">
      <c r="A35" s="10">
        <v>27</v>
      </c>
      <c r="B35" s="11" t="s">
        <v>64</v>
      </c>
      <c r="C35" s="12">
        <v>6927828</v>
      </c>
      <c r="D35" s="13">
        <v>14</v>
      </c>
      <c r="E35" s="13">
        <v>15</v>
      </c>
      <c r="F35" s="13">
        <v>15</v>
      </c>
      <c r="G35" s="14">
        <f t="shared" si="2"/>
        <v>39.111111111111114</v>
      </c>
      <c r="H35" s="14">
        <v>12</v>
      </c>
      <c r="I35" s="14">
        <v>18</v>
      </c>
      <c r="J35" s="14">
        <f t="shared" si="3"/>
        <v>30</v>
      </c>
      <c r="K35" s="14">
        <f t="shared" si="4"/>
        <v>69.111111111111114</v>
      </c>
    </row>
    <row r="36" spans="1:11" s="6" customFormat="1" ht="23.1" customHeight="1">
      <c r="A36" s="10">
        <v>28</v>
      </c>
      <c r="B36" s="11" t="s">
        <v>75</v>
      </c>
      <c r="C36" s="12">
        <v>5934113</v>
      </c>
      <c r="D36" s="13">
        <v>12</v>
      </c>
      <c r="E36" s="13">
        <v>15</v>
      </c>
      <c r="F36" s="13">
        <v>15</v>
      </c>
      <c r="G36" s="14">
        <f t="shared" si="2"/>
        <v>37.333333333333336</v>
      </c>
      <c r="H36" s="14">
        <v>11</v>
      </c>
      <c r="I36" s="14">
        <v>20</v>
      </c>
      <c r="J36" s="14">
        <f t="shared" si="3"/>
        <v>31</v>
      </c>
      <c r="K36" s="14">
        <f t="shared" si="4"/>
        <v>68.333333333333343</v>
      </c>
    </row>
    <row r="37" spans="1:11">
      <c r="B37" s="9"/>
      <c r="C37" s="9"/>
      <c r="D37" s="9"/>
      <c r="E37" s="9"/>
      <c r="F37" s="9"/>
      <c r="G37" s="9"/>
      <c r="H37" s="9"/>
      <c r="I37" s="9"/>
      <c r="J37" s="9"/>
      <c r="K37" s="9"/>
    </row>
  </sheetData>
  <sortState ref="B9:K36">
    <sortCondition ref="B9:B36"/>
  </sortState>
  <mergeCells count="14">
    <mergeCell ref="H6:I6"/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CC (1)</vt:lpstr>
      <vt:lpstr>CC (2)</vt:lpstr>
      <vt:lpstr>CC(3)</vt:lpstr>
      <vt:lpstr>'CC (1)'!Títulos_a_imprimir</vt:lpstr>
      <vt:lpstr>'CC (2)'!Títulos_a_imprimir</vt:lpstr>
      <vt:lpstr>'CC(3)'!Títulos_a_imprimir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2022-02-21T21:59:51Z</dcterms:modified>
</cp:coreProperties>
</file>