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_2\Desktop\LISTAS PRELIMINARES 2022\"/>
    </mc:Choice>
  </mc:AlternateContent>
  <bookViews>
    <workbookView xWindow="240" yWindow="75" windowWidth="15600" windowHeight="7935" tabRatio="924"/>
  </bookViews>
  <sheets>
    <sheet name="MCA" sheetId="28" r:id="rId1"/>
  </sheets>
  <definedNames>
    <definedName name="_xlnm._FilterDatabase" localSheetId="0" hidden="1">MCA!$B$1:$B$36</definedName>
    <definedName name="_xlnm.Print_Titles" localSheetId="0">MCA!$1:$8</definedName>
  </definedNames>
  <calcPr calcId="152511"/>
  <fileRecoveryPr autoRecover="0"/>
</workbook>
</file>

<file path=xl/calcChain.xml><?xml version="1.0" encoding="utf-8"?>
<calcChain xmlns="http://schemas.openxmlformats.org/spreadsheetml/2006/main">
  <c r="I26" i="28" l="1"/>
  <c r="F26" i="28"/>
  <c r="J26" i="28" s="1"/>
  <c r="I19" i="28"/>
  <c r="F19" i="28"/>
  <c r="J19" i="28" s="1"/>
  <c r="I11" i="28"/>
  <c r="F11" i="28"/>
  <c r="J11" i="28" s="1"/>
  <c r="I18" i="28"/>
  <c r="F18" i="28"/>
  <c r="J18" i="28" s="1"/>
  <c r="I14" i="28"/>
  <c r="F14" i="28"/>
  <c r="J14" i="28" s="1"/>
  <c r="I15" i="28"/>
  <c r="F15" i="28"/>
  <c r="J15" i="28" s="1"/>
  <c r="I25" i="28"/>
  <c r="F25" i="28"/>
  <c r="J25" i="28" s="1"/>
  <c r="I23" i="28"/>
  <c r="F23" i="28"/>
  <c r="J23" i="28" s="1"/>
  <c r="I24" i="28"/>
  <c r="F24" i="28"/>
  <c r="J24" i="28" s="1"/>
  <c r="I17" i="28"/>
  <c r="F17" i="28"/>
  <c r="J17" i="28" s="1"/>
  <c r="I36" i="28"/>
  <c r="F36" i="28"/>
  <c r="J36" i="28" s="1"/>
  <c r="I34" i="28"/>
  <c r="F34" i="28"/>
  <c r="J34" i="28" s="1"/>
  <c r="I35" i="28"/>
  <c r="F35" i="28"/>
  <c r="J35" i="28" s="1"/>
  <c r="I21" i="28"/>
  <c r="F21" i="28"/>
  <c r="J21" i="28" s="1"/>
  <c r="I22" i="28"/>
  <c r="F22" i="28"/>
  <c r="J22" i="28" s="1"/>
  <c r="I29" i="28"/>
  <c r="F29" i="28"/>
  <c r="J29" i="28" s="1"/>
  <c r="I20" i="28"/>
  <c r="F20" i="28"/>
  <c r="J20" i="28" s="1"/>
  <c r="I30" i="28"/>
  <c r="F30" i="28"/>
  <c r="J30" i="28" s="1"/>
  <c r="I16" i="28"/>
  <c r="F16" i="28"/>
  <c r="J16" i="28" s="1"/>
  <c r="I13" i="28"/>
  <c r="F13" i="28"/>
  <c r="J13" i="28" s="1"/>
  <c r="I32" i="28"/>
  <c r="F32" i="28"/>
  <c r="J32" i="28" s="1"/>
  <c r="I10" i="28"/>
  <c r="F10" i="28"/>
  <c r="J10" i="28" s="1"/>
  <c r="I28" i="28"/>
  <c r="F28" i="28"/>
  <c r="J28" i="28" s="1"/>
  <c r="I12" i="28"/>
  <c r="F12" i="28"/>
  <c r="J12" i="28" s="1"/>
  <c r="I27" i="28"/>
  <c r="F27" i="28"/>
  <c r="J27" i="28" s="1"/>
  <c r="I9" i="28"/>
  <c r="F9" i="28"/>
  <c r="J9" i="28" s="1"/>
  <c r="I33" i="28"/>
  <c r="F33" i="28"/>
  <c r="J33" i="28" s="1"/>
  <c r="I31" i="28"/>
  <c r="F31" i="28"/>
  <c r="J31" i="28" s="1"/>
  <c r="I8" i="28" l="1"/>
  <c r="F8" i="28"/>
  <c r="J8" i="28" l="1"/>
</calcChain>
</file>

<file path=xl/sharedStrings.xml><?xml version="1.0" encoding="utf-8"?>
<sst xmlns="http://schemas.openxmlformats.org/spreadsheetml/2006/main" count="18" uniqueCount="17">
  <si>
    <t xml:space="preserve">DIRECCION GENERAL DE EDUCACIÓN MEDIA </t>
  </si>
  <si>
    <t>DIRECCION DE BACHILLERATO TÉCNICO Y FORMACIÓN PROFESIONAL</t>
  </si>
  <si>
    <t>Nº</t>
  </si>
  <si>
    <t>CEDULA N°</t>
  </si>
  <si>
    <t>TOTAL DE PUNTOS E.E.B  3° CICLO</t>
  </si>
  <si>
    <t>TOTAL GRAL. (EEB)                PESO 40%</t>
  </si>
  <si>
    <t>PRUEBAS</t>
  </si>
  <si>
    <t>TOTAL 60  % (PI)</t>
  </si>
  <si>
    <t xml:space="preserve">TOTAL GRAL.   </t>
  </si>
  <si>
    <t>7º</t>
  </si>
  <si>
    <t>8º</t>
  </si>
  <si>
    <t>9º</t>
  </si>
  <si>
    <t>MATEMATICA</t>
  </si>
  <si>
    <t>CAST.- GUAR.</t>
  </si>
  <si>
    <t>MECANICA GENERAL</t>
  </si>
  <si>
    <t>MINISTERIO DE EDUCACION Y CIENCIAS</t>
  </si>
  <si>
    <t>LISTA PRELIMINAR - COLEGIO TECNICO NACIONAL DE LA CAPITAL /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</si>
</sst>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\-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18"/>
      <name val="Arial"/>
      <family val="2"/>
    </font>
    <font>
      <sz val="8"/>
      <name val="Arial"/>
      <family val="2"/>
    </font>
    <font>
      <b/>
      <sz val="10"/>
      <color indexed="18"/>
      <name val="Arial"/>
      <family val="2"/>
    </font>
    <font>
      <sz val="7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color theme="1"/>
      <name val="Arial  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7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0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3" fontId="9" fillId="0" borderId="1" xfId="0" applyNumberFormat="1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 vertical="center"/>
    </xf>
    <xf numFmtId="3" fontId="9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Fill="1"/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164" fontId="5" fillId="0" borderId="3" xfId="1" applyNumberFormat="1" applyFont="1" applyFill="1" applyBorder="1" applyAlignment="1" applyProtection="1">
      <alignment horizontal="center"/>
    </xf>
    <xf numFmtId="164" fontId="5" fillId="0" borderId="2" xfId="1" applyNumberFormat="1" applyFont="1" applyFill="1" applyBorder="1" applyAlignment="1" applyProtection="1">
      <alignment horizontal="center"/>
    </xf>
    <xf numFmtId="164" fontId="2" fillId="0" borderId="0" xfId="1" applyNumberFormat="1" applyFont="1" applyFill="1" applyBorder="1" applyAlignment="1" applyProtection="1">
      <alignment horizontal="center"/>
    </xf>
    <xf numFmtId="164" fontId="0" fillId="0" borderId="0" xfId="1" applyNumberFormat="1" applyFont="1" applyFill="1" applyBorder="1" applyAlignment="1" applyProtection="1">
      <alignment horizontal="center"/>
    </xf>
    <xf numFmtId="164" fontId="3" fillId="0" borderId="1" xfId="1" applyNumberFormat="1" applyFont="1" applyFill="1" applyBorder="1" applyAlignment="1" applyProtection="1">
      <alignment horizontal="center"/>
    </xf>
    <xf numFmtId="0" fontId="4" fillId="2" borderId="1" xfId="0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tabSelected="1" view="pageBreakPreview" topLeftCell="A13" zoomScale="110" zoomScaleSheetLayoutView="110" workbookViewId="0">
      <selection activeCell="L29" sqref="L29"/>
    </sheetView>
  </sheetViews>
  <sheetFormatPr baseColWidth="10" defaultRowHeight="15"/>
  <cols>
    <col min="1" max="1" width="3.42578125" bestFit="1" customWidth="1"/>
    <col min="2" max="2" width="10.7109375" customWidth="1"/>
    <col min="3" max="9" width="6.7109375" customWidth="1"/>
    <col min="10" max="10" width="10" customWidth="1"/>
  </cols>
  <sheetData>
    <row r="1" spans="1:10">
      <c r="A1" s="19" t="s">
        <v>15</v>
      </c>
      <c r="B1" s="19"/>
      <c r="C1" s="19"/>
      <c r="D1" s="19"/>
      <c r="E1" s="19"/>
      <c r="F1" s="19"/>
      <c r="G1" s="19"/>
      <c r="H1" s="19"/>
      <c r="I1" s="19"/>
      <c r="J1" s="19"/>
    </row>
    <row r="2" spans="1:10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</row>
    <row r="3" spans="1:10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</row>
    <row r="4" spans="1:10">
      <c r="A4" s="19" t="s">
        <v>16</v>
      </c>
      <c r="B4" s="19"/>
      <c r="C4" s="19"/>
      <c r="D4" s="19"/>
      <c r="E4" s="19"/>
      <c r="F4" s="19"/>
      <c r="G4" s="19"/>
      <c r="H4" s="19"/>
      <c r="I4" s="19"/>
      <c r="J4" s="19"/>
    </row>
    <row r="5" spans="1:10" ht="15.75">
      <c r="A5" s="21" t="s">
        <v>14</v>
      </c>
      <c r="B5" s="21"/>
      <c r="C5" s="21"/>
      <c r="D5" s="21"/>
      <c r="E5" s="21"/>
      <c r="F5" s="21"/>
      <c r="G5" s="21"/>
      <c r="H5" s="21"/>
      <c r="I5" s="21"/>
      <c r="J5" s="21"/>
    </row>
    <row r="6" spans="1:10" ht="35.1" customHeight="1">
      <c r="A6" s="22" t="s">
        <v>2</v>
      </c>
      <c r="B6" s="23" t="s">
        <v>3</v>
      </c>
      <c r="C6" s="24" t="s">
        <v>4</v>
      </c>
      <c r="D6" s="24"/>
      <c r="E6" s="24"/>
      <c r="F6" s="15" t="s">
        <v>5</v>
      </c>
      <c r="G6" s="1" t="s">
        <v>6</v>
      </c>
      <c r="H6" s="1" t="s">
        <v>6</v>
      </c>
      <c r="I6" s="15" t="s">
        <v>7</v>
      </c>
      <c r="J6" s="15" t="s">
        <v>8</v>
      </c>
    </row>
    <row r="7" spans="1:10" ht="30" customHeight="1">
      <c r="A7" s="22"/>
      <c r="B7" s="23"/>
      <c r="C7" s="13" t="s">
        <v>9</v>
      </c>
      <c r="D7" s="13" t="s">
        <v>10</v>
      </c>
      <c r="E7" s="13" t="s">
        <v>11</v>
      </c>
      <c r="F7" s="16"/>
      <c r="G7" s="12" t="s">
        <v>12</v>
      </c>
      <c r="H7" s="12" t="s">
        <v>13</v>
      </c>
      <c r="I7" s="16"/>
      <c r="J7" s="16"/>
    </row>
    <row r="8" spans="1:10">
      <c r="A8" s="17"/>
      <c r="B8" s="18"/>
      <c r="C8" s="2">
        <v>15</v>
      </c>
      <c r="D8" s="2">
        <v>15</v>
      </c>
      <c r="E8" s="2">
        <v>15</v>
      </c>
      <c r="F8" s="3">
        <f t="shared" ref="F8" si="0">SUM(C8:E8)*100/45*0.4</f>
        <v>40</v>
      </c>
      <c r="G8" s="2">
        <v>30</v>
      </c>
      <c r="H8" s="2">
        <v>30</v>
      </c>
      <c r="I8" s="3">
        <f t="shared" ref="I8" si="1">SUM(G8:H8)</f>
        <v>60</v>
      </c>
      <c r="J8" s="4">
        <f>I8+F8</f>
        <v>100</v>
      </c>
    </row>
    <row r="9" spans="1:10" s="14" customFormat="1">
      <c r="A9" s="5">
        <v>1</v>
      </c>
      <c r="B9" s="6">
        <v>5541030</v>
      </c>
      <c r="C9" s="7">
        <v>12</v>
      </c>
      <c r="D9" s="7">
        <v>13</v>
      </c>
      <c r="E9" s="7">
        <v>14</v>
      </c>
      <c r="F9" s="8">
        <f t="shared" ref="F9:F36" si="2">SUM(C9:E9)*100/45*0.4</f>
        <v>34.666666666666671</v>
      </c>
      <c r="G9" s="8">
        <v>8</v>
      </c>
      <c r="H9" s="8">
        <v>13</v>
      </c>
      <c r="I9" s="9">
        <f t="shared" ref="I9:I36" si="3">SUM(G9:H9)</f>
        <v>21</v>
      </c>
      <c r="J9" s="9">
        <f t="shared" ref="J9:J36" si="4">F9+I9</f>
        <v>55.666666666666671</v>
      </c>
    </row>
    <row r="10" spans="1:10" s="14" customFormat="1">
      <c r="A10" s="5">
        <v>2</v>
      </c>
      <c r="B10" s="6">
        <v>5551578</v>
      </c>
      <c r="C10" s="7">
        <v>7</v>
      </c>
      <c r="D10" s="7">
        <v>8</v>
      </c>
      <c r="E10" s="7">
        <v>7</v>
      </c>
      <c r="F10" s="8">
        <f t="shared" si="2"/>
        <v>19.555555555555557</v>
      </c>
      <c r="G10" s="8">
        <v>7</v>
      </c>
      <c r="H10" s="8">
        <v>9</v>
      </c>
      <c r="I10" s="9">
        <f t="shared" si="3"/>
        <v>16</v>
      </c>
      <c r="J10" s="9">
        <f t="shared" si="4"/>
        <v>35.555555555555557</v>
      </c>
    </row>
    <row r="11" spans="1:10" s="14" customFormat="1">
      <c r="A11" s="5">
        <v>3</v>
      </c>
      <c r="B11" s="6">
        <v>5629253</v>
      </c>
      <c r="C11" s="11">
        <v>13</v>
      </c>
      <c r="D11" s="11">
        <v>12</v>
      </c>
      <c r="E11" s="11">
        <v>15</v>
      </c>
      <c r="F11" s="8">
        <f t="shared" si="2"/>
        <v>35.555555555555557</v>
      </c>
      <c r="G11" s="8">
        <v>14</v>
      </c>
      <c r="H11" s="8">
        <v>17</v>
      </c>
      <c r="I11" s="8">
        <f t="shared" si="3"/>
        <v>31</v>
      </c>
      <c r="J11" s="8">
        <f t="shared" si="4"/>
        <v>66.555555555555557</v>
      </c>
    </row>
    <row r="12" spans="1:10" s="14" customFormat="1">
      <c r="A12" s="5">
        <v>4</v>
      </c>
      <c r="B12" s="6">
        <v>5651234</v>
      </c>
      <c r="C12" s="7">
        <v>15</v>
      </c>
      <c r="D12" s="7">
        <v>11</v>
      </c>
      <c r="E12" s="7">
        <v>13</v>
      </c>
      <c r="F12" s="8">
        <f t="shared" si="2"/>
        <v>34.666666666666671</v>
      </c>
      <c r="G12" s="8">
        <v>12</v>
      </c>
      <c r="H12" s="8">
        <v>21</v>
      </c>
      <c r="I12" s="9">
        <f t="shared" si="3"/>
        <v>33</v>
      </c>
      <c r="J12" s="9">
        <f t="shared" si="4"/>
        <v>67.666666666666671</v>
      </c>
    </row>
    <row r="13" spans="1:10" s="14" customFormat="1">
      <c r="A13" s="5">
        <v>5</v>
      </c>
      <c r="B13" s="6">
        <v>5696175</v>
      </c>
      <c r="C13" s="7">
        <v>14</v>
      </c>
      <c r="D13" s="7">
        <v>12</v>
      </c>
      <c r="E13" s="7">
        <v>15</v>
      </c>
      <c r="F13" s="8">
        <f t="shared" si="2"/>
        <v>36.44444444444445</v>
      </c>
      <c r="G13" s="8">
        <v>10</v>
      </c>
      <c r="H13" s="8">
        <v>18</v>
      </c>
      <c r="I13" s="9">
        <f t="shared" si="3"/>
        <v>28</v>
      </c>
      <c r="J13" s="9">
        <f t="shared" si="4"/>
        <v>64.444444444444457</v>
      </c>
    </row>
    <row r="14" spans="1:10" s="14" customFormat="1">
      <c r="A14" s="5">
        <v>6</v>
      </c>
      <c r="B14" s="6">
        <v>5735458</v>
      </c>
      <c r="C14" s="7">
        <v>13</v>
      </c>
      <c r="D14" s="7">
        <v>15</v>
      </c>
      <c r="E14" s="7">
        <v>15</v>
      </c>
      <c r="F14" s="8">
        <f t="shared" si="2"/>
        <v>38.222222222222221</v>
      </c>
      <c r="G14" s="8">
        <v>5</v>
      </c>
      <c r="H14" s="8">
        <v>16</v>
      </c>
      <c r="I14" s="9">
        <f t="shared" si="3"/>
        <v>21</v>
      </c>
      <c r="J14" s="9">
        <f t="shared" si="4"/>
        <v>59.222222222222221</v>
      </c>
    </row>
    <row r="15" spans="1:10" s="14" customFormat="1">
      <c r="A15" s="5">
        <v>7</v>
      </c>
      <c r="B15" s="6">
        <v>5735716</v>
      </c>
      <c r="C15" s="7">
        <v>13</v>
      </c>
      <c r="D15" s="7">
        <v>10</v>
      </c>
      <c r="E15" s="7">
        <v>9</v>
      </c>
      <c r="F15" s="8">
        <f t="shared" si="2"/>
        <v>28.444444444444446</v>
      </c>
      <c r="G15" s="8">
        <v>5</v>
      </c>
      <c r="H15" s="8">
        <v>19</v>
      </c>
      <c r="I15" s="9">
        <f t="shared" si="3"/>
        <v>24</v>
      </c>
      <c r="J15" s="9">
        <f t="shared" si="4"/>
        <v>52.444444444444443</v>
      </c>
    </row>
    <row r="16" spans="1:10" s="14" customFormat="1">
      <c r="A16" s="5">
        <v>8</v>
      </c>
      <c r="B16" s="6">
        <v>5769619</v>
      </c>
      <c r="C16" s="7">
        <v>13</v>
      </c>
      <c r="D16" s="7">
        <v>8</v>
      </c>
      <c r="E16" s="7">
        <v>11</v>
      </c>
      <c r="F16" s="8">
        <f t="shared" si="2"/>
        <v>28.444444444444446</v>
      </c>
      <c r="G16" s="8">
        <v>10</v>
      </c>
      <c r="H16" s="8">
        <v>20</v>
      </c>
      <c r="I16" s="9">
        <f t="shared" si="3"/>
        <v>30</v>
      </c>
      <c r="J16" s="9">
        <f t="shared" si="4"/>
        <v>58.444444444444443</v>
      </c>
    </row>
    <row r="17" spans="1:10" s="14" customFormat="1">
      <c r="A17" s="5">
        <v>9</v>
      </c>
      <c r="B17" s="6">
        <v>5795670</v>
      </c>
      <c r="C17" s="7">
        <v>13</v>
      </c>
      <c r="D17" s="7">
        <v>10</v>
      </c>
      <c r="E17" s="7">
        <v>11</v>
      </c>
      <c r="F17" s="8">
        <f t="shared" si="2"/>
        <v>30.222222222222225</v>
      </c>
      <c r="G17" s="8">
        <v>11</v>
      </c>
      <c r="H17" s="8">
        <v>13</v>
      </c>
      <c r="I17" s="9">
        <f t="shared" si="3"/>
        <v>24</v>
      </c>
      <c r="J17" s="9">
        <f t="shared" si="4"/>
        <v>54.222222222222229</v>
      </c>
    </row>
    <row r="18" spans="1:10" s="14" customFormat="1">
      <c r="A18" s="5">
        <v>10</v>
      </c>
      <c r="B18" s="6">
        <v>5801116</v>
      </c>
      <c r="C18" s="7">
        <v>10</v>
      </c>
      <c r="D18" s="7">
        <v>11</v>
      </c>
      <c r="E18" s="7">
        <v>12</v>
      </c>
      <c r="F18" s="8">
        <f t="shared" si="2"/>
        <v>29.333333333333332</v>
      </c>
      <c r="G18" s="8">
        <v>9</v>
      </c>
      <c r="H18" s="8">
        <v>11</v>
      </c>
      <c r="I18" s="8">
        <f t="shared" si="3"/>
        <v>20</v>
      </c>
      <c r="J18" s="8">
        <f t="shared" si="4"/>
        <v>49.333333333333329</v>
      </c>
    </row>
    <row r="19" spans="1:10" s="14" customFormat="1">
      <c r="A19" s="5">
        <v>11</v>
      </c>
      <c r="B19" s="6">
        <v>5807447</v>
      </c>
      <c r="C19" s="7">
        <v>15</v>
      </c>
      <c r="D19" s="7">
        <v>15</v>
      </c>
      <c r="E19" s="7">
        <v>15</v>
      </c>
      <c r="F19" s="8">
        <f t="shared" si="2"/>
        <v>40</v>
      </c>
      <c r="G19" s="8">
        <v>4</v>
      </c>
      <c r="H19" s="8">
        <v>14</v>
      </c>
      <c r="I19" s="9">
        <f t="shared" si="3"/>
        <v>18</v>
      </c>
      <c r="J19" s="9">
        <f t="shared" si="4"/>
        <v>58</v>
      </c>
    </row>
    <row r="20" spans="1:10" s="14" customFormat="1">
      <c r="A20" s="5">
        <v>12</v>
      </c>
      <c r="B20" s="6">
        <v>5811741</v>
      </c>
      <c r="C20" s="7">
        <v>15</v>
      </c>
      <c r="D20" s="7">
        <v>12</v>
      </c>
      <c r="E20" s="7">
        <v>15</v>
      </c>
      <c r="F20" s="8">
        <f t="shared" si="2"/>
        <v>37.333333333333336</v>
      </c>
      <c r="G20" s="8">
        <v>12</v>
      </c>
      <c r="H20" s="8">
        <v>21</v>
      </c>
      <c r="I20" s="9">
        <f t="shared" si="3"/>
        <v>33</v>
      </c>
      <c r="J20" s="9">
        <f t="shared" si="4"/>
        <v>70.333333333333343</v>
      </c>
    </row>
    <row r="21" spans="1:10" s="14" customFormat="1">
      <c r="A21" s="5">
        <v>13</v>
      </c>
      <c r="B21" s="6">
        <v>5867143</v>
      </c>
      <c r="C21" s="11">
        <v>14</v>
      </c>
      <c r="D21" s="11">
        <v>12</v>
      </c>
      <c r="E21" s="11">
        <v>15</v>
      </c>
      <c r="F21" s="8">
        <f t="shared" si="2"/>
        <v>36.44444444444445</v>
      </c>
      <c r="G21" s="8">
        <v>15</v>
      </c>
      <c r="H21" s="8">
        <v>21</v>
      </c>
      <c r="I21" s="8">
        <f t="shared" si="3"/>
        <v>36</v>
      </c>
      <c r="J21" s="8">
        <f t="shared" si="4"/>
        <v>72.444444444444457</v>
      </c>
    </row>
    <row r="22" spans="1:10" s="14" customFormat="1">
      <c r="A22" s="5">
        <v>14</v>
      </c>
      <c r="B22" s="6">
        <v>5873823</v>
      </c>
      <c r="C22" s="7">
        <v>9</v>
      </c>
      <c r="D22" s="7">
        <v>11</v>
      </c>
      <c r="E22" s="7">
        <v>13</v>
      </c>
      <c r="F22" s="8">
        <f t="shared" si="2"/>
        <v>29.333333333333332</v>
      </c>
      <c r="G22" s="8">
        <v>16</v>
      </c>
      <c r="H22" s="8">
        <v>18</v>
      </c>
      <c r="I22" s="9">
        <f t="shared" si="3"/>
        <v>34</v>
      </c>
      <c r="J22" s="9">
        <f t="shared" si="4"/>
        <v>63.333333333333329</v>
      </c>
    </row>
    <row r="23" spans="1:10" s="14" customFormat="1">
      <c r="A23" s="5">
        <v>15</v>
      </c>
      <c r="B23" s="10">
        <v>5901535</v>
      </c>
      <c r="C23" s="11">
        <v>12</v>
      </c>
      <c r="D23" s="11">
        <v>15</v>
      </c>
      <c r="E23" s="11">
        <v>15</v>
      </c>
      <c r="F23" s="8">
        <f t="shared" si="2"/>
        <v>37.333333333333336</v>
      </c>
      <c r="G23" s="8">
        <v>9</v>
      </c>
      <c r="H23" s="8">
        <v>12</v>
      </c>
      <c r="I23" s="8">
        <f t="shared" si="3"/>
        <v>21</v>
      </c>
      <c r="J23" s="8">
        <f t="shared" si="4"/>
        <v>58.333333333333336</v>
      </c>
    </row>
    <row r="24" spans="1:10" s="14" customFormat="1">
      <c r="A24" s="5">
        <v>16</v>
      </c>
      <c r="B24" s="6">
        <v>5907904</v>
      </c>
      <c r="C24" s="11">
        <v>9</v>
      </c>
      <c r="D24" s="11">
        <v>11</v>
      </c>
      <c r="E24" s="11">
        <v>11</v>
      </c>
      <c r="F24" s="8">
        <f t="shared" si="2"/>
        <v>27.555555555555557</v>
      </c>
      <c r="G24" s="8">
        <v>13</v>
      </c>
      <c r="H24" s="8">
        <v>14</v>
      </c>
      <c r="I24" s="8">
        <f t="shared" si="3"/>
        <v>27</v>
      </c>
      <c r="J24" s="8">
        <f t="shared" si="4"/>
        <v>54.555555555555557</v>
      </c>
    </row>
    <row r="25" spans="1:10" s="14" customFormat="1">
      <c r="A25" s="5">
        <v>17</v>
      </c>
      <c r="B25" s="6">
        <v>5930713</v>
      </c>
      <c r="C25" s="7">
        <v>10</v>
      </c>
      <c r="D25" s="7">
        <v>12</v>
      </c>
      <c r="E25" s="7">
        <v>12</v>
      </c>
      <c r="F25" s="8">
        <f t="shared" si="2"/>
        <v>30.222222222222225</v>
      </c>
      <c r="G25" s="8">
        <v>15</v>
      </c>
      <c r="H25" s="8">
        <v>13</v>
      </c>
      <c r="I25" s="9">
        <f t="shared" si="3"/>
        <v>28</v>
      </c>
      <c r="J25" s="9">
        <f t="shared" si="4"/>
        <v>58.222222222222229</v>
      </c>
    </row>
    <row r="26" spans="1:10" s="14" customFormat="1">
      <c r="A26" s="5">
        <v>18</v>
      </c>
      <c r="B26" s="6">
        <v>6010100</v>
      </c>
      <c r="C26" s="11">
        <v>11</v>
      </c>
      <c r="D26" s="11">
        <v>13</v>
      </c>
      <c r="E26" s="11">
        <v>12</v>
      </c>
      <c r="F26" s="8">
        <f t="shared" si="2"/>
        <v>32</v>
      </c>
      <c r="G26" s="8">
        <v>17</v>
      </c>
      <c r="H26" s="8">
        <v>19</v>
      </c>
      <c r="I26" s="8">
        <f t="shared" si="3"/>
        <v>36</v>
      </c>
      <c r="J26" s="8">
        <f t="shared" si="4"/>
        <v>68</v>
      </c>
    </row>
    <row r="27" spans="1:10" s="14" customFormat="1">
      <c r="A27" s="5">
        <v>19</v>
      </c>
      <c r="B27" s="6">
        <v>6011691</v>
      </c>
      <c r="C27" s="7">
        <v>15</v>
      </c>
      <c r="D27" s="7">
        <v>13</v>
      </c>
      <c r="E27" s="7">
        <v>15</v>
      </c>
      <c r="F27" s="8">
        <f t="shared" si="2"/>
        <v>38.222222222222221</v>
      </c>
      <c r="G27" s="8">
        <v>11</v>
      </c>
      <c r="H27" s="8">
        <v>13</v>
      </c>
      <c r="I27" s="9">
        <f t="shared" si="3"/>
        <v>24</v>
      </c>
      <c r="J27" s="9">
        <f t="shared" si="4"/>
        <v>62.222222222222221</v>
      </c>
    </row>
    <row r="28" spans="1:10" s="14" customFormat="1">
      <c r="A28" s="5">
        <v>20</v>
      </c>
      <c r="B28" s="6">
        <v>6155109</v>
      </c>
      <c r="C28" s="7">
        <v>12</v>
      </c>
      <c r="D28" s="7">
        <v>10</v>
      </c>
      <c r="E28" s="7">
        <v>15</v>
      </c>
      <c r="F28" s="8">
        <f t="shared" si="2"/>
        <v>32.888888888888893</v>
      </c>
      <c r="G28" s="8">
        <v>10</v>
      </c>
      <c r="H28" s="8">
        <v>16</v>
      </c>
      <c r="I28" s="9">
        <f t="shared" si="3"/>
        <v>26</v>
      </c>
      <c r="J28" s="9">
        <f t="shared" si="4"/>
        <v>58.888888888888893</v>
      </c>
    </row>
    <row r="29" spans="1:10" s="14" customFormat="1">
      <c r="A29" s="5">
        <v>21</v>
      </c>
      <c r="B29" s="6">
        <v>6155348</v>
      </c>
      <c r="C29" s="7">
        <v>11</v>
      </c>
      <c r="D29" s="7">
        <v>6</v>
      </c>
      <c r="E29" s="7">
        <v>12</v>
      </c>
      <c r="F29" s="8">
        <f t="shared" si="2"/>
        <v>25.777777777777779</v>
      </c>
      <c r="G29" s="8">
        <v>12</v>
      </c>
      <c r="H29" s="8">
        <v>20</v>
      </c>
      <c r="I29" s="9">
        <f t="shared" si="3"/>
        <v>32</v>
      </c>
      <c r="J29" s="9">
        <f t="shared" si="4"/>
        <v>57.777777777777779</v>
      </c>
    </row>
    <row r="30" spans="1:10" s="14" customFormat="1">
      <c r="A30" s="5">
        <v>22</v>
      </c>
      <c r="B30" s="6">
        <v>6539978</v>
      </c>
      <c r="C30" s="7">
        <v>10</v>
      </c>
      <c r="D30" s="7">
        <v>11</v>
      </c>
      <c r="E30" s="7">
        <v>14</v>
      </c>
      <c r="F30" s="8">
        <f t="shared" si="2"/>
        <v>31.111111111111111</v>
      </c>
      <c r="G30" s="8">
        <v>17</v>
      </c>
      <c r="H30" s="8">
        <v>23</v>
      </c>
      <c r="I30" s="9">
        <f t="shared" si="3"/>
        <v>40</v>
      </c>
      <c r="J30" s="9">
        <f t="shared" si="4"/>
        <v>71.111111111111114</v>
      </c>
    </row>
    <row r="31" spans="1:10" s="14" customFormat="1">
      <c r="A31" s="5">
        <v>23</v>
      </c>
      <c r="B31" s="6">
        <v>6776262</v>
      </c>
      <c r="C31" s="7">
        <v>14</v>
      </c>
      <c r="D31" s="7">
        <v>14</v>
      </c>
      <c r="E31" s="7">
        <v>15</v>
      </c>
      <c r="F31" s="8">
        <f t="shared" si="2"/>
        <v>38.222222222222221</v>
      </c>
      <c r="G31" s="8">
        <v>19</v>
      </c>
      <c r="H31" s="8">
        <v>16</v>
      </c>
      <c r="I31" s="9">
        <f t="shared" si="3"/>
        <v>35</v>
      </c>
      <c r="J31" s="9">
        <f t="shared" si="4"/>
        <v>73.222222222222229</v>
      </c>
    </row>
    <row r="32" spans="1:10" s="14" customFormat="1">
      <c r="A32" s="5">
        <v>24</v>
      </c>
      <c r="B32" s="6">
        <v>6906687</v>
      </c>
      <c r="C32" s="7">
        <v>14</v>
      </c>
      <c r="D32" s="7">
        <v>14</v>
      </c>
      <c r="E32" s="7">
        <v>15</v>
      </c>
      <c r="F32" s="8">
        <f t="shared" si="2"/>
        <v>38.222222222222221</v>
      </c>
      <c r="G32" s="8">
        <v>11</v>
      </c>
      <c r="H32" s="8">
        <v>20</v>
      </c>
      <c r="I32" s="8">
        <f t="shared" si="3"/>
        <v>31</v>
      </c>
      <c r="J32" s="8">
        <f t="shared" si="4"/>
        <v>69.222222222222229</v>
      </c>
    </row>
    <row r="33" spans="1:10" s="14" customFormat="1">
      <c r="A33" s="5">
        <v>25</v>
      </c>
      <c r="B33" s="6">
        <v>7108898</v>
      </c>
      <c r="C33" s="7">
        <v>14</v>
      </c>
      <c r="D33" s="7">
        <v>9</v>
      </c>
      <c r="E33" s="7">
        <v>11</v>
      </c>
      <c r="F33" s="8">
        <f t="shared" si="2"/>
        <v>30.222222222222225</v>
      </c>
      <c r="G33" s="8">
        <v>15</v>
      </c>
      <c r="H33" s="8">
        <v>21</v>
      </c>
      <c r="I33" s="9">
        <f t="shared" si="3"/>
        <v>36</v>
      </c>
      <c r="J33" s="9">
        <f t="shared" si="4"/>
        <v>66.222222222222229</v>
      </c>
    </row>
    <row r="34" spans="1:10" s="14" customFormat="1">
      <c r="A34" s="5">
        <v>26</v>
      </c>
      <c r="B34" s="6">
        <v>7206265</v>
      </c>
      <c r="C34" s="11">
        <v>13</v>
      </c>
      <c r="D34" s="11">
        <v>10</v>
      </c>
      <c r="E34" s="11">
        <v>14</v>
      </c>
      <c r="F34" s="8">
        <f t="shared" si="2"/>
        <v>32.888888888888893</v>
      </c>
      <c r="G34" s="8">
        <v>17</v>
      </c>
      <c r="H34" s="8">
        <v>18</v>
      </c>
      <c r="I34" s="8">
        <f t="shared" si="3"/>
        <v>35</v>
      </c>
      <c r="J34" s="8">
        <f t="shared" si="4"/>
        <v>67.888888888888886</v>
      </c>
    </row>
    <row r="35" spans="1:10" s="14" customFormat="1">
      <c r="A35" s="5">
        <v>27</v>
      </c>
      <c r="B35" s="6">
        <v>7208929</v>
      </c>
      <c r="C35" s="7">
        <v>15</v>
      </c>
      <c r="D35" s="7">
        <v>15</v>
      </c>
      <c r="E35" s="7">
        <v>15</v>
      </c>
      <c r="F35" s="8">
        <f t="shared" si="2"/>
        <v>40</v>
      </c>
      <c r="G35" s="8">
        <v>9</v>
      </c>
      <c r="H35" s="8">
        <v>16</v>
      </c>
      <c r="I35" s="9">
        <f t="shared" si="3"/>
        <v>25</v>
      </c>
      <c r="J35" s="9">
        <f t="shared" si="4"/>
        <v>65</v>
      </c>
    </row>
    <row r="36" spans="1:10" s="14" customFormat="1">
      <c r="A36" s="5">
        <v>28</v>
      </c>
      <c r="B36" s="6">
        <v>8877233</v>
      </c>
      <c r="C36" s="7">
        <v>10</v>
      </c>
      <c r="D36" s="7">
        <v>10</v>
      </c>
      <c r="E36" s="7">
        <v>12</v>
      </c>
      <c r="F36" s="8">
        <f t="shared" si="2"/>
        <v>28.444444444444446</v>
      </c>
      <c r="G36" s="8">
        <v>12</v>
      </c>
      <c r="H36" s="8">
        <v>12</v>
      </c>
      <c r="I36" s="9">
        <f t="shared" si="3"/>
        <v>24</v>
      </c>
      <c r="J36" s="9">
        <f t="shared" si="4"/>
        <v>52.444444444444443</v>
      </c>
    </row>
    <row r="37" spans="1:10">
      <c r="B37" s="14"/>
      <c r="C37" s="14"/>
      <c r="D37" s="14"/>
      <c r="E37" s="14"/>
      <c r="F37" s="14"/>
      <c r="G37" s="14"/>
      <c r="H37" s="14"/>
      <c r="I37" s="14"/>
      <c r="J37" s="14"/>
    </row>
  </sheetData>
  <autoFilter ref="B1:B36"/>
  <sortState ref="B9:J36">
    <sortCondition ref="B9:B36"/>
  </sortState>
  <mergeCells count="12">
    <mergeCell ref="I6:I7"/>
    <mergeCell ref="J6:J7"/>
    <mergeCell ref="A8:B8"/>
    <mergeCell ref="A1:J1"/>
    <mergeCell ref="A2:J2"/>
    <mergeCell ref="A3:J3"/>
    <mergeCell ref="A4:J4"/>
    <mergeCell ref="A5:J5"/>
    <mergeCell ref="A6:A7"/>
    <mergeCell ref="B6:B7"/>
    <mergeCell ref="C6:E6"/>
    <mergeCell ref="F6:F7"/>
  </mergeCells>
  <printOptions horizontalCentered="1"/>
  <pageMargins left="0.39370078740157483" right="0.19685039370078741" top="0.78740157480314965" bottom="0.78740157480314965" header="0.31496062992125984" footer="0.31496062992125984"/>
  <pageSetup paperSize="5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MCA</vt:lpstr>
      <vt:lpstr>MCA!Títulos_a_imprimir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PC_2</cp:lastModifiedBy>
  <cp:lastPrinted>2021-03-05T14:59:42Z</cp:lastPrinted>
  <dcterms:created xsi:type="dcterms:W3CDTF">2016-02-17T13:19:12Z</dcterms:created>
  <dcterms:modified xsi:type="dcterms:W3CDTF">2022-02-17T19:44:23Z</dcterms:modified>
</cp:coreProperties>
</file>