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 activeTab="2"/>
  </bookViews>
  <sheets>
    <sheet name="QCA (1)" sheetId="57" r:id="rId1"/>
    <sheet name="QCA (2)" sheetId="68" r:id="rId2"/>
    <sheet name="QCA(3)" sheetId="67" r:id="rId3"/>
  </sheets>
  <definedNames>
    <definedName name="_xlnm.Print_Titles" localSheetId="0">'QCA (1)'!$1:$8</definedName>
    <definedName name="_xlnm.Print_Titles" localSheetId="1">'QCA (2)'!$1:$8</definedName>
    <definedName name="_xlnm.Print_Titles" localSheetId="2">'QCA(3)'!$1:$8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12" i="67" l="1"/>
  <c r="G12" i="67"/>
  <c r="J27" i="67"/>
  <c r="G27" i="67"/>
  <c r="J25" i="67"/>
  <c r="G25" i="67"/>
  <c r="J11" i="67"/>
  <c r="G11" i="67"/>
  <c r="J33" i="67"/>
  <c r="G33" i="67"/>
  <c r="J30" i="67"/>
  <c r="G30" i="67"/>
  <c r="J34" i="67"/>
  <c r="G34" i="67"/>
  <c r="J35" i="67"/>
  <c r="G35" i="67"/>
  <c r="J19" i="67"/>
  <c r="G19" i="67"/>
  <c r="J36" i="67"/>
  <c r="G36" i="67"/>
  <c r="J9" i="67"/>
  <c r="G9" i="67"/>
  <c r="J28" i="67"/>
  <c r="G28" i="67"/>
  <c r="J23" i="67"/>
  <c r="G23" i="67"/>
  <c r="J17" i="67"/>
  <c r="G17" i="67"/>
  <c r="J14" i="67"/>
  <c r="G14" i="67"/>
  <c r="J21" i="67"/>
  <c r="G21" i="67"/>
  <c r="J15" i="67"/>
  <c r="G15" i="67"/>
  <c r="J26" i="67"/>
  <c r="G26" i="67"/>
  <c r="J29" i="67"/>
  <c r="G29" i="67"/>
  <c r="J20" i="67"/>
  <c r="G20" i="67"/>
  <c r="J10" i="67"/>
  <c r="G10" i="67"/>
  <c r="J24" i="67"/>
  <c r="G24" i="67"/>
  <c r="J18" i="67"/>
  <c r="G18" i="67"/>
  <c r="J16" i="67"/>
  <c r="G16" i="67"/>
  <c r="J22" i="67"/>
  <c r="G22" i="67"/>
  <c r="J13" i="67"/>
  <c r="G13" i="67"/>
  <c r="J32" i="67"/>
  <c r="G32" i="67"/>
  <c r="J31" i="67"/>
  <c r="G31" i="67"/>
  <c r="J13" i="68"/>
  <c r="G13" i="68"/>
  <c r="J21" i="68"/>
  <c r="G21" i="68"/>
  <c r="J29" i="68"/>
  <c r="G29" i="68"/>
  <c r="J25" i="68"/>
  <c r="G25" i="68"/>
  <c r="J34" i="68"/>
  <c r="G34" i="68"/>
  <c r="J16" i="68"/>
  <c r="G16" i="68"/>
  <c r="J20" i="68"/>
  <c r="G20" i="68"/>
  <c r="J28" i="68"/>
  <c r="G28" i="68"/>
  <c r="J24" i="68"/>
  <c r="G24" i="68"/>
  <c r="J10" i="68"/>
  <c r="G10" i="68"/>
  <c r="J9" i="68"/>
  <c r="G9" i="68"/>
  <c r="J32" i="68"/>
  <c r="G32" i="68"/>
  <c r="J14" i="68"/>
  <c r="G14" i="68"/>
  <c r="J22" i="68"/>
  <c r="G22" i="68"/>
  <c r="J33" i="68"/>
  <c r="G33" i="68"/>
  <c r="J30" i="68"/>
  <c r="G30" i="68"/>
  <c r="J26" i="68"/>
  <c r="G26" i="68"/>
  <c r="J17" i="68"/>
  <c r="G17" i="68"/>
  <c r="J19" i="68"/>
  <c r="G19" i="68"/>
  <c r="K19" i="68" s="1"/>
  <c r="J18" i="68"/>
  <c r="G18" i="68"/>
  <c r="J27" i="68"/>
  <c r="G27" i="68"/>
  <c r="K27" i="68" s="1"/>
  <c r="J23" i="68"/>
  <c r="G23" i="68"/>
  <c r="J31" i="68"/>
  <c r="G31" i="68"/>
  <c r="K31" i="68" s="1"/>
  <c r="J15" i="68"/>
  <c r="G15" i="68"/>
  <c r="J12" i="68"/>
  <c r="G12" i="68"/>
  <c r="K12" i="68" s="1"/>
  <c r="J11" i="68"/>
  <c r="G11" i="68"/>
  <c r="J36" i="68"/>
  <c r="G36" i="68"/>
  <c r="K36" i="68" s="1"/>
  <c r="J35" i="68"/>
  <c r="G35" i="68"/>
  <c r="J13" i="57"/>
  <c r="G13" i="57"/>
  <c r="K13" i="57" s="1"/>
  <c r="J26" i="57"/>
  <c r="G26" i="57"/>
  <c r="J20" i="57"/>
  <c r="G20" i="57"/>
  <c r="K20" i="57" s="1"/>
  <c r="J16" i="57"/>
  <c r="G16" i="57"/>
  <c r="J31" i="57"/>
  <c r="G31" i="57"/>
  <c r="K31" i="57" s="1"/>
  <c r="J28" i="57"/>
  <c r="G28" i="57"/>
  <c r="J22" i="57"/>
  <c r="G22" i="57"/>
  <c r="K22" i="57" s="1"/>
  <c r="J24" i="57"/>
  <c r="G24" i="57"/>
  <c r="J21" i="57"/>
  <c r="G21" i="57"/>
  <c r="K21" i="57" s="1"/>
  <c r="J27" i="57"/>
  <c r="G27" i="57"/>
  <c r="J18" i="57"/>
  <c r="G18" i="57"/>
  <c r="K18" i="57" s="1"/>
  <c r="J11" i="57"/>
  <c r="G11" i="57"/>
  <c r="J35" i="57"/>
  <c r="G35" i="57"/>
  <c r="K35" i="57" s="1"/>
  <c r="J25" i="57"/>
  <c r="G25" i="57"/>
  <c r="J15" i="57"/>
  <c r="G15" i="57"/>
  <c r="K15" i="57" s="1"/>
  <c r="J33" i="57"/>
  <c r="G33" i="57"/>
  <c r="J29" i="57"/>
  <c r="G29" i="57"/>
  <c r="K29" i="57" s="1"/>
  <c r="J32" i="57"/>
  <c r="G32" i="57"/>
  <c r="J34" i="57"/>
  <c r="G34" i="57"/>
  <c r="K34" i="57" s="1"/>
  <c r="J10" i="57"/>
  <c r="G10" i="57"/>
  <c r="J30" i="57"/>
  <c r="G30" i="57"/>
  <c r="K30" i="57" s="1"/>
  <c r="J19" i="57"/>
  <c r="G19" i="57"/>
  <c r="J14" i="57"/>
  <c r="G14" i="57"/>
  <c r="K14" i="57" s="1"/>
  <c r="J12" i="57"/>
  <c r="G12" i="57"/>
  <c r="J9" i="57"/>
  <c r="G9" i="57"/>
  <c r="K9" i="57" s="1"/>
  <c r="J36" i="57"/>
  <c r="G36" i="57"/>
  <c r="J23" i="57"/>
  <c r="G23" i="57"/>
  <c r="K23" i="57" s="1"/>
  <c r="J17" i="57"/>
  <c r="G17" i="57"/>
  <c r="K17" i="57" l="1"/>
  <c r="K36" i="57"/>
  <c r="K12" i="57"/>
  <c r="K19" i="57"/>
  <c r="K10" i="57"/>
  <c r="K32" i="57"/>
  <c r="K33" i="57"/>
  <c r="K25" i="57"/>
  <c r="K11" i="57"/>
  <c r="K27" i="57"/>
  <c r="K24" i="57"/>
  <c r="K28" i="57"/>
  <c r="K16" i="57"/>
  <c r="K26" i="57"/>
  <c r="K35" i="68"/>
  <c r="K11" i="68"/>
  <c r="K15" i="68"/>
  <c r="K23" i="68"/>
  <c r="K18" i="68"/>
  <c r="K17" i="68"/>
  <c r="K30" i="68"/>
  <c r="K22" i="68"/>
  <c r="K32" i="68"/>
  <c r="K10" i="68"/>
  <c r="K28" i="68"/>
  <c r="K16" i="68"/>
  <c r="K25" i="68"/>
  <c r="K21" i="68"/>
  <c r="K26" i="68"/>
  <c r="K33" i="68"/>
  <c r="K14" i="68"/>
  <c r="K9" i="68"/>
  <c r="K24" i="68"/>
  <c r="K20" i="68"/>
  <c r="K34" i="68"/>
  <c r="K29" i="68"/>
  <c r="K13" i="68"/>
  <c r="K31" i="67"/>
  <c r="K32" i="67"/>
  <c r="K13" i="67"/>
  <c r="K22" i="67"/>
  <c r="K16" i="67"/>
  <c r="K18" i="67"/>
  <c r="K24" i="67"/>
  <c r="K10" i="67"/>
  <c r="K20" i="67"/>
  <c r="K29" i="67"/>
  <c r="K26" i="67"/>
  <c r="K15" i="67"/>
  <c r="K21" i="67"/>
  <c r="K14" i="67"/>
  <c r="K17" i="67"/>
  <c r="K23" i="67"/>
  <c r="K28" i="67"/>
  <c r="K9" i="67"/>
  <c r="K36" i="67"/>
  <c r="K19" i="67"/>
  <c r="K35" i="67"/>
  <c r="K34" i="67"/>
  <c r="K30" i="67"/>
  <c r="K33" i="67"/>
  <c r="K11" i="67"/>
  <c r="K25" i="67"/>
  <c r="K27" i="67"/>
  <c r="K12" i="67"/>
  <c r="J8" i="68"/>
  <c r="G8" i="68"/>
  <c r="J8" i="67"/>
  <c r="G8" i="67"/>
  <c r="K8" i="68" l="1"/>
  <c r="K8" i="67"/>
  <c r="J8" i="57"/>
  <c r="G8" i="57"/>
  <c r="K8" i="57" l="1"/>
</calcChain>
</file>

<file path=xl/sharedStrings.xml><?xml version="1.0" encoding="utf-8"?>
<sst xmlns="http://schemas.openxmlformats.org/spreadsheetml/2006/main" count="144" uniqueCount="105">
  <si>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</si>
  <si>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</si>
  <si>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</si>
  <si>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</si>
  <si>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</si>
  <si>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</si>
  <si>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</si>
  <si>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</si>
  <si>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</si>
  <si>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</si>
  <si>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</si>
  <si>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</si>
  <si>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</si>
  <si>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</si>
  <si>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</si>
  <si>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QUIMICA INDUSTRIAL</t>
  </si>
  <si>
    <t>TURNO TARDE CURSO: 1ro. SECCION: 2da.</t>
  </si>
  <si>
    <t>TURNO MAÑANA 1er. Curso 1ra. Seccion.</t>
  </si>
  <si>
    <t>TURNO TARDE CURSO: 1ro. SECCION: 3ra.</t>
  </si>
  <si>
    <t>LISTA DEFINITIVA- COLEGIO TECNICO NACIONAL DE LA CAPITAL / 2022</t>
  </si>
  <si>
    <t>ESTIGARRIBIA CUENCA NABILI COSTANZA</t>
  </si>
  <si>
    <t>MORINIGO AGUAYO LUCIA BELEN</t>
  </si>
  <si>
    <t>YOSHIZAKI NISHIMURA MAYU MELISSA</t>
  </si>
  <si>
    <t xml:space="preserve">ALVAREZ CARDENA ALEJANDRO DANIEL </t>
  </si>
  <si>
    <t>CASANOVA BENITEZ YANINA BELEN</t>
  </si>
  <si>
    <t>DAGUERRE LOVERA KATHERINE NATASHA ABRIL</t>
  </si>
  <si>
    <t>GONZALEZ FOSTER ALANIS ROMINA</t>
  </si>
  <si>
    <t>ROLON MERELES LUNA AVRIL</t>
  </si>
  <si>
    <t>ARNELLA VERA MAGALI BELEN</t>
  </si>
  <si>
    <t>VALDEZ URQUHART JUAN FRANCISCO</t>
  </si>
  <si>
    <t>SANCHEZ RUIZ DIAZ THIAGO EMILIO</t>
  </si>
  <si>
    <t>ROJAS ARMOA NAHIELY NICOLE</t>
  </si>
  <si>
    <t>TORALES RIVAS LETICIA ARACELY</t>
  </si>
  <si>
    <t>DE LA BARRA ZOILAN OSCAR DANIEL</t>
  </si>
  <si>
    <t>OSORIO MAQUEDA FIORELLA MILAGROS</t>
  </si>
  <si>
    <t>WEISENSEE SAMANIEGO MARIA VICTORIA ANTONELLA</t>
  </si>
  <si>
    <t>BENITEZ LOPEZ ALAN DANIEL</t>
  </si>
  <si>
    <t>GONZALEZ CASTRO SANTIAGO DOMINGO</t>
  </si>
  <si>
    <t>RAMIREZ ARRUA DANNA NOEMI</t>
  </si>
  <si>
    <t>LUSCHER SANCHEZ ZOE ALEEZA</t>
  </si>
  <si>
    <t>NUÑEZ AQUINO YESSICA ARAMI</t>
  </si>
  <si>
    <t xml:space="preserve">MARTINEZ ALVARES SANTIAGO JOSE </t>
  </si>
  <si>
    <t>RECALDE CABALLERO YELSSI ARELIS</t>
  </si>
  <si>
    <t>SANCHEZ PAREDES ANNIE BEATRIZ</t>
  </si>
  <si>
    <t>ESCOBAR ALVEZ TAMARA NICOL</t>
  </si>
  <si>
    <t>IBARRA JARA FIORELLA LANETTE</t>
  </si>
  <si>
    <t>PEDROZO GONZALEZ SANTIAGO MAXIMILIANO</t>
  </si>
  <si>
    <t>CHAVEZ RAMIREZ JACQUELINE LUJAN</t>
  </si>
  <si>
    <t>RUIZ DIAZ JACQUET KARINA BELEN</t>
  </si>
  <si>
    <t>SERVIN DE VOOGHT ELIAS SEBASTIAN</t>
  </si>
  <si>
    <t>ARGUELLO FLEITAS THAYS AVRIL</t>
  </si>
  <si>
    <t>BENITEZ CABRERA MARCELO DAVID</t>
  </si>
  <si>
    <t>DOMINGUEZ JACQUET AHILEN MONSERRATH</t>
  </si>
  <si>
    <t>ORTIZ ZORRILA PAULA MONSERRAT</t>
  </si>
  <si>
    <t>HEREBIA VALENZUELA VALERIA VIRINA</t>
  </si>
  <si>
    <t>JARA RODRIGUEZ NATHALIE JACQUELINE</t>
  </si>
  <si>
    <t>FERREIRA MERELES MARTIN DANIEL</t>
  </si>
  <si>
    <t>GONZALEZ GIMENEZ ADRIANA RAQUEL</t>
  </si>
  <si>
    <t>FERREIRA CUELLA EMILIA MONTSERRAT</t>
  </si>
  <si>
    <t>INSFRAN VILLALBA REBECCA MARIA BELEN</t>
  </si>
  <si>
    <t>MOREL GOMEZ ROSA MILAGROS</t>
  </si>
  <si>
    <t>ROTELA TORRES SUSAN ANALIA</t>
  </si>
  <si>
    <t>GUILLEN RUIZ DIAZ CAMILA BELEN</t>
  </si>
  <si>
    <t>CENTURION MOLINAS TATTIANA MONSERRATH</t>
  </si>
  <si>
    <t>PEREIRA OCAMPOS ALEJANDRO EZEQUIEL</t>
  </si>
  <si>
    <t>AGUILERA PAEZ RUTH FIONA ESTHER</t>
  </si>
  <si>
    <t>ALONZO GALEANO FABRICIO DANIEL</t>
  </si>
  <si>
    <t>HUANG BERNAL ARNALDO HSIEN KUAN</t>
  </si>
  <si>
    <t>LEZCANO GONZALEZ MATIAS GASTON</t>
  </si>
  <si>
    <t>GONZALEZ LECOQUE JULIANA ARAMI</t>
  </si>
  <si>
    <t>FERNANDEZ RODRIGUEZ VERONICA NOEMI</t>
  </si>
  <si>
    <t>RUIZ DIAZ CORONEL ADAN DANIEL</t>
  </si>
  <si>
    <t>IBAÑEZ MIRANDA IVANA BELEN</t>
  </si>
  <si>
    <t>MOREL AREVALOS ARELI ESTEFANIA</t>
  </si>
  <si>
    <t>GONZALEZ OCAMPO CAMILA BEATRIZ</t>
  </si>
  <si>
    <t>CASTELLANO ROA LUANA ABRIL</t>
  </si>
  <si>
    <t>PORTILLO OSORIO JULIO EMMANUEL</t>
  </si>
  <si>
    <t>RAMIREZ ORUE CECILIA MAGALI</t>
  </si>
  <si>
    <t>AYALA MARTINEZ ALEJANDRO MARTIN</t>
  </si>
  <si>
    <t>FLEITAS CUTTIER ALESSANDRA MICAELA</t>
  </si>
  <si>
    <t>BENITEZ MARTINEZ HANNA ABIGAIL</t>
  </si>
  <si>
    <t>CARRERAS BENITEZ VANIA ANAHI</t>
  </si>
  <si>
    <t>GONZALEZ MARTINEZ ISAIAS EFRAIN</t>
  </si>
  <si>
    <t>ARANDA BOGADO JULIETA GERALDINE</t>
  </si>
  <si>
    <t>DUARTE FERNANDEZ ALVARO RAFAEL</t>
  </si>
  <si>
    <t>ORTIZ VALLEJOS SOFIA</t>
  </si>
  <si>
    <t>MORINIGO ORREGO ALESSIA NOEMI</t>
  </si>
  <si>
    <t>BENITEZ BENITEZ JAZMIN ADRIANA</t>
  </si>
  <si>
    <t>ESCOBAR AGUILERA FIORELLA MAGALI</t>
  </si>
  <si>
    <t>BALBUENA MIRANDA DANNA LUCIA</t>
  </si>
  <si>
    <t>CARDENAS VILLALBA LUANA AILEN</t>
  </si>
  <si>
    <t>FLORENTIN GONZALEZ ALEXANDRO DANIEL</t>
  </si>
  <si>
    <t>ORTEGA TORRES AMANDA LUCIA</t>
  </si>
  <si>
    <t>ALARCON ESPINOLA SOL DANIELI</t>
  </si>
  <si>
    <t>VILLALBA BENITEZ ANGELES NICOL</t>
  </si>
  <si>
    <t>CRISTALDO POSE ANDREA GISSELL</t>
  </si>
  <si>
    <t>SILVA GALEANO MELISA MARIA</t>
  </si>
  <si>
    <t>SERVIAN AQUINO ANA PAULA</t>
  </si>
  <si>
    <t>PALACIOS AYALA FABIAN ANTONIO</t>
  </si>
  <si>
    <t>SANABRIA MOLINAS PAMELA LUJAN</t>
  </si>
  <si>
    <t>ARAUJO SILVERO MIA BETHANIA</t>
  </si>
  <si>
    <t>MARTINEZ GODOY AVRIL</t>
  </si>
  <si>
    <t>NUÑEZ VARGAS LUIS ALEJANDRO</t>
  </si>
  <si>
    <t>AVALOS CORONEL MAGALI MONSERRATH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</si>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</sst>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9"/>
      <color theme="1"/>
      <name val="Arial"/>
      <family val="2"/>
    </font>
    <font>
      <sz val="9"/>
      <color theme="1"/>
      <name val="Arial  "/>
    </font>
    <font>
      <sz val="9"/>
      <name val="Arial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3" fontId="8" fillId="0" borderId="1" xfId="0" applyNumberFormat="1" applyFont="1" applyFill="1" applyBorder="1" applyAlignment="1">
      <alignment horizontal="left"/>
    </xf>
    <xf numFmtId="2" fontId="1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M7" sqref="M7"/>
    </sheetView>
  </sheetViews>
  <sheetFormatPr baseColWidth="10" defaultRowHeight="15"/>
  <cols>
    <col min="1" max="1" width="4.85546875" bestFit="1" customWidth="1"/>
    <col min="2" max="2" width="47.28515625" customWidth="1"/>
    <col min="3" max="3" width="9.7109375" customWidth="1"/>
    <col min="4" max="6" width="5.7109375" customWidth="1"/>
    <col min="7" max="11" width="6.7109375" customWidth="1"/>
  </cols>
  <sheetData>
    <row r="1" spans="1:11">
      <c r="A1" s="22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17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35.1" customHeight="1">
      <c r="A6" s="25" t="s">
        <v>2</v>
      </c>
      <c r="B6" s="25" t="s">
        <v>3</v>
      </c>
      <c r="C6" s="26" t="s">
        <v>4</v>
      </c>
      <c r="D6" s="27" t="s">
        <v>5</v>
      </c>
      <c r="E6" s="27"/>
      <c r="F6" s="27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5"/>
      <c r="B7" s="25"/>
      <c r="C7" s="26"/>
      <c r="D7" s="7" t="s">
        <v>10</v>
      </c>
      <c r="E7" s="7" t="s">
        <v>11</v>
      </c>
      <c r="F7" s="7" t="s">
        <v>12</v>
      </c>
      <c r="G7" s="18"/>
      <c r="H7" s="6" t="s">
        <v>13</v>
      </c>
      <c r="I7" s="6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5" customFormat="1" ht="23.1" customHeight="1">
      <c r="A9" s="16">
        <v>1</v>
      </c>
      <c r="B9" s="10" t="s">
        <v>23</v>
      </c>
      <c r="C9" s="11">
        <v>6820126</v>
      </c>
      <c r="D9" s="12">
        <v>15</v>
      </c>
      <c r="E9" s="12">
        <v>15</v>
      </c>
      <c r="F9" s="12">
        <v>15</v>
      </c>
      <c r="G9" s="13">
        <f t="shared" ref="G9:G36" si="2">SUM(D9:F9)*100/45*0.4</f>
        <v>40</v>
      </c>
      <c r="H9" s="13">
        <v>26</v>
      </c>
      <c r="I9" s="13">
        <v>24</v>
      </c>
      <c r="J9" s="13">
        <f t="shared" ref="J9:J36" si="3">SUM(H9:I9)</f>
        <v>50</v>
      </c>
      <c r="K9" s="13">
        <f t="shared" ref="K9:K36" si="4">G9+J9</f>
        <v>90</v>
      </c>
    </row>
    <row r="10" spans="1:11" s="5" customFormat="1" ht="23.1" customHeight="1">
      <c r="A10" s="16">
        <v>2</v>
      </c>
      <c r="B10" s="10" t="s">
        <v>28</v>
      </c>
      <c r="C10" s="11">
        <v>6978280</v>
      </c>
      <c r="D10" s="12">
        <v>15</v>
      </c>
      <c r="E10" s="12">
        <v>15</v>
      </c>
      <c r="F10" s="12">
        <v>15</v>
      </c>
      <c r="G10" s="13">
        <f t="shared" si="2"/>
        <v>40</v>
      </c>
      <c r="H10" s="13">
        <v>25</v>
      </c>
      <c r="I10" s="13">
        <v>22</v>
      </c>
      <c r="J10" s="13">
        <f t="shared" si="3"/>
        <v>47</v>
      </c>
      <c r="K10" s="13">
        <f t="shared" si="4"/>
        <v>87</v>
      </c>
    </row>
    <row r="11" spans="1:11" s="5" customFormat="1" ht="23.1" customHeight="1">
      <c r="A11" s="16">
        <v>3</v>
      </c>
      <c r="B11" s="14" t="s">
        <v>36</v>
      </c>
      <c r="C11" s="11">
        <v>6999441</v>
      </c>
      <c r="D11" s="12">
        <v>15</v>
      </c>
      <c r="E11" s="12">
        <v>15</v>
      </c>
      <c r="F11" s="12">
        <v>15</v>
      </c>
      <c r="G11" s="13">
        <f t="shared" si="2"/>
        <v>40</v>
      </c>
      <c r="H11" s="13">
        <v>20</v>
      </c>
      <c r="I11" s="13">
        <v>22</v>
      </c>
      <c r="J11" s="13">
        <f t="shared" si="3"/>
        <v>42</v>
      </c>
      <c r="K11" s="13">
        <f t="shared" si="4"/>
        <v>82</v>
      </c>
    </row>
    <row r="12" spans="1:11" s="5" customFormat="1" ht="23.1" customHeight="1">
      <c r="A12" s="16">
        <v>4</v>
      </c>
      <c r="B12" s="14" t="s">
        <v>24</v>
      </c>
      <c r="C12" s="11">
        <v>5901448</v>
      </c>
      <c r="D12" s="12">
        <v>15</v>
      </c>
      <c r="E12" s="12">
        <v>15</v>
      </c>
      <c r="F12" s="12">
        <v>15</v>
      </c>
      <c r="G12" s="13">
        <f t="shared" si="2"/>
        <v>40</v>
      </c>
      <c r="H12" s="13">
        <v>26</v>
      </c>
      <c r="I12" s="13">
        <v>24</v>
      </c>
      <c r="J12" s="13">
        <f t="shared" si="3"/>
        <v>50</v>
      </c>
      <c r="K12" s="13">
        <f t="shared" si="4"/>
        <v>90</v>
      </c>
    </row>
    <row r="13" spans="1:11" s="5" customFormat="1" ht="23.1" customHeight="1">
      <c r="A13" s="16">
        <v>5</v>
      </c>
      <c r="B13" s="10" t="s">
        <v>47</v>
      </c>
      <c r="C13" s="11">
        <v>5711699</v>
      </c>
      <c r="D13" s="12">
        <v>15</v>
      </c>
      <c r="E13" s="12">
        <v>14</v>
      </c>
      <c r="F13" s="12">
        <v>14</v>
      </c>
      <c r="G13" s="13">
        <f t="shared" si="2"/>
        <v>38.222222222222221</v>
      </c>
      <c r="H13" s="13">
        <v>18</v>
      </c>
      <c r="I13" s="13">
        <v>22</v>
      </c>
      <c r="J13" s="13">
        <f t="shared" si="3"/>
        <v>40</v>
      </c>
      <c r="K13" s="13">
        <f t="shared" si="4"/>
        <v>78.222222222222229</v>
      </c>
    </row>
    <row r="14" spans="1:11" s="5" customFormat="1" ht="23.1" customHeight="1">
      <c r="A14" s="16">
        <v>6</v>
      </c>
      <c r="B14" s="10" t="s">
        <v>25</v>
      </c>
      <c r="C14" s="11">
        <v>5990340</v>
      </c>
      <c r="D14" s="12">
        <v>15</v>
      </c>
      <c r="E14" s="12">
        <v>15</v>
      </c>
      <c r="F14" s="12">
        <v>15</v>
      </c>
      <c r="G14" s="13">
        <f t="shared" si="2"/>
        <v>40</v>
      </c>
      <c r="H14" s="13">
        <v>27</v>
      </c>
      <c r="I14" s="13">
        <v>23</v>
      </c>
      <c r="J14" s="13">
        <f t="shared" si="3"/>
        <v>50</v>
      </c>
      <c r="K14" s="13">
        <f t="shared" si="4"/>
        <v>90</v>
      </c>
    </row>
    <row r="15" spans="1:11" s="5" customFormat="1" ht="23.1" customHeight="1">
      <c r="A15" s="16">
        <v>7</v>
      </c>
      <c r="B15" s="10" t="s">
        <v>33</v>
      </c>
      <c r="C15" s="11">
        <v>7399311</v>
      </c>
      <c r="D15" s="12">
        <v>15</v>
      </c>
      <c r="E15" s="12">
        <v>15</v>
      </c>
      <c r="F15" s="12">
        <v>15</v>
      </c>
      <c r="G15" s="13">
        <f t="shared" si="2"/>
        <v>40</v>
      </c>
      <c r="H15" s="13">
        <v>18</v>
      </c>
      <c r="I15" s="13">
        <v>26</v>
      </c>
      <c r="J15" s="13">
        <f t="shared" si="3"/>
        <v>44</v>
      </c>
      <c r="K15" s="13">
        <f t="shared" si="4"/>
        <v>84</v>
      </c>
    </row>
    <row r="16" spans="1:11" s="5" customFormat="1" ht="23.1" customHeight="1">
      <c r="A16" s="16">
        <v>8</v>
      </c>
      <c r="B16" s="10" t="s">
        <v>44</v>
      </c>
      <c r="C16" s="11">
        <v>6546854</v>
      </c>
      <c r="D16" s="12">
        <v>15</v>
      </c>
      <c r="E16" s="12">
        <v>15</v>
      </c>
      <c r="F16" s="12">
        <v>15</v>
      </c>
      <c r="G16" s="13">
        <f t="shared" si="2"/>
        <v>40</v>
      </c>
      <c r="H16" s="13">
        <v>19</v>
      </c>
      <c r="I16" s="13">
        <v>21</v>
      </c>
      <c r="J16" s="13">
        <f t="shared" si="3"/>
        <v>40</v>
      </c>
      <c r="K16" s="13">
        <f t="shared" si="4"/>
        <v>80</v>
      </c>
    </row>
    <row r="17" spans="1:11" s="5" customFormat="1" ht="23.1" customHeight="1">
      <c r="A17" s="16">
        <v>9</v>
      </c>
      <c r="B17" s="10" t="s">
        <v>20</v>
      </c>
      <c r="C17" s="11">
        <v>6052743</v>
      </c>
      <c r="D17" s="12">
        <v>15</v>
      </c>
      <c r="E17" s="12">
        <v>15</v>
      </c>
      <c r="F17" s="12">
        <v>15</v>
      </c>
      <c r="G17" s="13">
        <f t="shared" si="2"/>
        <v>40</v>
      </c>
      <c r="H17" s="13">
        <v>28</v>
      </c>
      <c r="I17" s="13">
        <v>27</v>
      </c>
      <c r="J17" s="13">
        <f t="shared" si="3"/>
        <v>55</v>
      </c>
      <c r="K17" s="13">
        <f t="shared" si="4"/>
        <v>95</v>
      </c>
    </row>
    <row r="18" spans="1:11" s="5" customFormat="1" ht="23.1" customHeight="1">
      <c r="A18" s="16">
        <v>10</v>
      </c>
      <c r="B18" s="10" t="s">
        <v>37</v>
      </c>
      <c r="C18" s="11">
        <v>5691923</v>
      </c>
      <c r="D18" s="12">
        <v>15</v>
      </c>
      <c r="E18" s="12">
        <v>15</v>
      </c>
      <c r="F18" s="12">
        <v>15</v>
      </c>
      <c r="G18" s="13">
        <f t="shared" si="2"/>
        <v>40</v>
      </c>
      <c r="H18" s="13">
        <v>19</v>
      </c>
      <c r="I18" s="13">
        <v>23</v>
      </c>
      <c r="J18" s="13">
        <f t="shared" si="3"/>
        <v>42</v>
      </c>
      <c r="K18" s="13">
        <f t="shared" si="4"/>
        <v>82</v>
      </c>
    </row>
    <row r="19" spans="1:11" s="5" customFormat="1" ht="23.1" customHeight="1">
      <c r="A19" s="16">
        <v>11</v>
      </c>
      <c r="B19" s="10" t="s">
        <v>26</v>
      </c>
      <c r="C19" s="11">
        <v>6959208</v>
      </c>
      <c r="D19" s="12">
        <v>15</v>
      </c>
      <c r="E19" s="12">
        <v>15</v>
      </c>
      <c r="F19" s="12">
        <v>15</v>
      </c>
      <c r="G19" s="13">
        <f t="shared" si="2"/>
        <v>40</v>
      </c>
      <c r="H19" s="13">
        <v>22</v>
      </c>
      <c r="I19" s="13">
        <v>26</v>
      </c>
      <c r="J19" s="13">
        <f t="shared" si="3"/>
        <v>48</v>
      </c>
      <c r="K19" s="13">
        <f t="shared" si="4"/>
        <v>88</v>
      </c>
    </row>
    <row r="20" spans="1:11" s="5" customFormat="1" ht="23.1" customHeight="1">
      <c r="A20" s="16">
        <v>12</v>
      </c>
      <c r="B20" s="10" t="s">
        <v>45</v>
      </c>
      <c r="C20" s="11">
        <v>5730542</v>
      </c>
      <c r="D20" s="12">
        <v>15</v>
      </c>
      <c r="E20" s="12">
        <v>15</v>
      </c>
      <c r="F20" s="12">
        <v>15</v>
      </c>
      <c r="G20" s="13">
        <f t="shared" si="2"/>
        <v>40</v>
      </c>
      <c r="H20" s="13">
        <v>18</v>
      </c>
      <c r="I20" s="13">
        <v>22</v>
      </c>
      <c r="J20" s="13">
        <f t="shared" si="3"/>
        <v>40</v>
      </c>
      <c r="K20" s="13">
        <f t="shared" si="4"/>
        <v>80</v>
      </c>
    </row>
    <row r="21" spans="1:11" s="5" customFormat="1" ht="23.1" customHeight="1">
      <c r="A21" s="16">
        <v>13</v>
      </c>
      <c r="B21" s="10" t="s">
        <v>39</v>
      </c>
      <c r="C21" s="11">
        <v>6677540</v>
      </c>
      <c r="D21" s="12">
        <v>15</v>
      </c>
      <c r="E21" s="12">
        <v>15</v>
      </c>
      <c r="F21" s="12">
        <v>14</v>
      </c>
      <c r="G21" s="13">
        <f t="shared" si="2"/>
        <v>39.111111111111114</v>
      </c>
      <c r="H21" s="13">
        <v>20</v>
      </c>
      <c r="I21" s="13">
        <v>22</v>
      </c>
      <c r="J21" s="13">
        <f t="shared" si="3"/>
        <v>42</v>
      </c>
      <c r="K21" s="13">
        <f t="shared" si="4"/>
        <v>81.111111111111114</v>
      </c>
    </row>
    <row r="22" spans="1:11" s="5" customFormat="1" ht="23.1" customHeight="1">
      <c r="A22" s="16">
        <v>14</v>
      </c>
      <c r="B22" s="10" t="s">
        <v>41</v>
      </c>
      <c r="C22" s="11">
        <v>5791888</v>
      </c>
      <c r="D22" s="12">
        <v>15</v>
      </c>
      <c r="E22" s="12">
        <v>15</v>
      </c>
      <c r="F22" s="12">
        <v>15</v>
      </c>
      <c r="G22" s="13">
        <f t="shared" si="2"/>
        <v>40</v>
      </c>
      <c r="H22" s="13">
        <v>21</v>
      </c>
      <c r="I22" s="13">
        <v>20</v>
      </c>
      <c r="J22" s="13">
        <f t="shared" si="3"/>
        <v>41</v>
      </c>
      <c r="K22" s="13">
        <f t="shared" si="4"/>
        <v>81</v>
      </c>
    </row>
    <row r="23" spans="1:11" s="5" customFormat="1" ht="23.1" customHeight="1">
      <c r="A23" s="16">
        <v>15</v>
      </c>
      <c r="B23" s="10" t="s">
        <v>21</v>
      </c>
      <c r="C23" s="11">
        <v>6056679</v>
      </c>
      <c r="D23" s="12">
        <v>15</v>
      </c>
      <c r="E23" s="12">
        <v>15</v>
      </c>
      <c r="F23" s="12">
        <v>15</v>
      </c>
      <c r="G23" s="13">
        <f t="shared" si="2"/>
        <v>40</v>
      </c>
      <c r="H23" s="13">
        <v>29</v>
      </c>
      <c r="I23" s="13">
        <v>25</v>
      </c>
      <c r="J23" s="13">
        <f t="shared" si="3"/>
        <v>54</v>
      </c>
      <c r="K23" s="13">
        <f t="shared" si="4"/>
        <v>94</v>
      </c>
    </row>
    <row r="24" spans="1:11" s="5" customFormat="1" ht="23.1" customHeight="1">
      <c r="A24" s="16">
        <v>16</v>
      </c>
      <c r="B24" s="10" t="s">
        <v>40</v>
      </c>
      <c r="C24" s="11">
        <v>6022225</v>
      </c>
      <c r="D24" s="12">
        <v>14</v>
      </c>
      <c r="E24" s="12">
        <v>15</v>
      </c>
      <c r="F24" s="12">
        <v>15</v>
      </c>
      <c r="G24" s="13">
        <f t="shared" si="2"/>
        <v>39.111111111111114</v>
      </c>
      <c r="H24" s="13">
        <v>20</v>
      </c>
      <c r="I24" s="13">
        <v>22</v>
      </c>
      <c r="J24" s="13">
        <f t="shared" si="3"/>
        <v>42</v>
      </c>
      <c r="K24" s="13">
        <f t="shared" si="4"/>
        <v>81.111111111111114</v>
      </c>
    </row>
    <row r="25" spans="1:11" s="5" customFormat="1" ht="23.1" customHeight="1">
      <c r="A25" s="16">
        <v>17</v>
      </c>
      <c r="B25" s="10" t="s">
        <v>34</v>
      </c>
      <c r="C25" s="11">
        <v>5558272</v>
      </c>
      <c r="D25" s="12">
        <v>13</v>
      </c>
      <c r="E25" s="12">
        <v>15</v>
      </c>
      <c r="F25" s="12">
        <v>15</v>
      </c>
      <c r="G25" s="13">
        <f t="shared" si="2"/>
        <v>38.222222222222221</v>
      </c>
      <c r="H25" s="13">
        <v>20</v>
      </c>
      <c r="I25" s="13">
        <v>25</v>
      </c>
      <c r="J25" s="13">
        <f t="shared" si="3"/>
        <v>45</v>
      </c>
      <c r="K25" s="13">
        <f t="shared" si="4"/>
        <v>83.222222222222229</v>
      </c>
    </row>
    <row r="26" spans="1:11" s="5" customFormat="1" ht="23.1" customHeight="1">
      <c r="A26" s="16">
        <v>18</v>
      </c>
      <c r="B26" s="10" t="s">
        <v>46</v>
      </c>
      <c r="C26" s="11">
        <v>6327303</v>
      </c>
      <c r="D26" s="12">
        <v>15</v>
      </c>
      <c r="E26" s="12">
        <v>15</v>
      </c>
      <c r="F26" s="12">
        <v>15</v>
      </c>
      <c r="G26" s="13">
        <f t="shared" si="2"/>
        <v>40</v>
      </c>
      <c r="H26" s="13">
        <v>20</v>
      </c>
      <c r="I26" s="13">
        <v>20</v>
      </c>
      <c r="J26" s="13">
        <f t="shared" si="3"/>
        <v>40</v>
      </c>
      <c r="K26" s="13">
        <f t="shared" si="4"/>
        <v>80</v>
      </c>
    </row>
    <row r="27" spans="1:11" s="5" customFormat="1" ht="23.1" customHeight="1">
      <c r="A27" s="16">
        <v>19</v>
      </c>
      <c r="B27" s="10" t="s">
        <v>38</v>
      </c>
      <c r="C27" s="11">
        <v>6286318</v>
      </c>
      <c r="D27" s="12">
        <v>15</v>
      </c>
      <c r="E27" s="12">
        <v>13</v>
      </c>
      <c r="F27" s="12">
        <v>15</v>
      </c>
      <c r="G27" s="13">
        <f t="shared" si="2"/>
        <v>38.222222222222221</v>
      </c>
      <c r="H27" s="13">
        <v>20</v>
      </c>
      <c r="I27" s="13">
        <v>23</v>
      </c>
      <c r="J27" s="13">
        <f t="shared" si="3"/>
        <v>43</v>
      </c>
      <c r="K27" s="13">
        <f t="shared" si="4"/>
        <v>81.222222222222229</v>
      </c>
    </row>
    <row r="28" spans="1:11" s="5" customFormat="1" ht="23.1" customHeight="1">
      <c r="A28" s="16">
        <v>20</v>
      </c>
      <c r="B28" s="10" t="s">
        <v>42</v>
      </c>
      <c r="C28" s="11">
        <v>7457796</v>
      </c>
      <c r="D28" s="12">
        <v>15</v>
      </c>
      <c r="E28" s="12">
        <v>15</v>
      </c>
      <c r="F28" s="12">
        <v>15</v>
      </c>
      <c r="G28" s="13">
        <f t="shared" si="2"/>
        <v>40</v>
      </c>
      <c r="H28" s="13">
        <v>22</v>
      </c>
      <c r="I28" s="13">
        <v>19</v>
      </c>
      <c r="J28" s="13">
        <f t="shared" si="3"/>
        <v>41</v>
      </c>
      <c r="K28" s="13">
        <f t="shared" si="4"/>
        <v>81</v>
      </c>
    </row>
    <row r="29" spans="1:11" s="5" customFormat="1" ht="23.1" customHeight="1">
      <c r="A29" s="16">
        <v>21</v>
      </c>
      <c r="B29" s="10" t="s">
        <v>31</v>
      </c>
      <c r="C29" s="11">
        <v>6181114</v>
      </c>
      <c r="D29" s="12">
        <v>15</v>
      </c>
      <c r="E29" s="12">
        <v>15</v>
      </c>
      <c r="F29" s="12">
        <v>15</v>
      </c>
      <c r="G29" s="13">
        <f t="shared" si="2"/>
        <v>40</v>
      </c>
      <c r="H29" s="13">
        <v>22</v>
      </c>
      <c r="I29" s="13">
        <v>23</v>
      </c>
      <c r="J29" s="13">
        <f t="shared" si="3"/>
        <v>45</v>
      </c>
      <c r="K29" s="13">
        <f t="shared" si="4"/>
        <v>85</v>
      </c>
    </row>
    <row r="30" spans="1:11" s="5" customFormat="1" ht="23.1" customHeight="1">
      <c r="A30" s="16">
        <v>22</v>
      </c>
      <c r="B30" s="10" t="s">
        <v>27</v>
      </c>
      <c r="C30" s="11">
        <v>7814144</v>
      </c>
      <c r="D30" s="11">
        <v>15</v>
      </c>
      <c r="E30" s="11">
        <v>15</v>
      </c>
      <c r="F30" s="11">
        <v>15</v>
      </c>
      <c r="G30" s="13">
        <f t="shared" si="2"/>
        <v>40</v>
      </c>
      <c r="H30" s="15">
        <v>26</v>
      </c>
      <c r="I30" s="15">
        <v>22</v>
      </c>
      <c r="J30" s="13">
        <f t="shared" si="3"/>
        <v>48</v>
      </c>
      <c r="K30" s="13">
        <f t="shared" si="4"/>
        <v>88</v>
      </c>
    </row>
    <row r="31" spans="1:11" s="5" customFormat="1" ht="23.1" customHeight="1">
      <c r="A31" s="16">
        <v>23</v>
      </c>
      <c r="B31" s="10" t="s">
        <v>43</v>
      </c>
      <c r="C31" s="11">
        <v>5660491</v>
      </c>
      <c r="D31" s="12">
        <v>15</v>
      </c>
      <c r="E31" s="12">
        <v>15</v>
      </c>
      <c r="F31" s="12">
        <v>15</v>
      </c>
      <c r="G31" s="13">
        <f t="shared" si="2"/>
        <v>40</v>
      </c>
      <c r="H31" s="13">
        <v>19</v>
      </c>
      <c r="I31" s="13">
        <v>22</v>
      </c>
      <c r="J31" s="13">
        <f t="shared" si="3"/>
        <v>41</v>
      </c>
      <c r="K31" s="13">
        <f t="shared" si="4"/>
        <v>81</v>
      </c>
    </row>
    <row r="32" spans="1:11" s="5" customFormat="1" ht="23.1" customHeight="1">
      <c r="A32" s="16">
        <v>24</v>
      </c>
      <c r="B32" s="10" t="s">
        <v>30</v>
      </c>
      <c r="C32" s="11">
        <v>6776457</v>
      </c>
      <c r="D32" s="12">
        <v>15</v>
      </c>
      <c r="E32" s="12">
        <v>15</v>
      </c>
      <c r="F32" s="12">
        <v>15</v>
      </c>
      <c r="G32" s="13">
        <f t="shared" si="2"/>
        <v>40</v>
      </c>
      <c r="H32" s="13">
        <v>21</v>
      </c>
      <c r="I32" s="13">
        <v>25</v>
      </c>
      <c r="J32" s="13">
        <f t="shared" si="3"/>
        <v>46</v>
      </c>
      <c r="K32" s="13">
        <f t="shared" si="4"/>
        <v>86</v>
      </c>
    </row>
    <row r="33" spans="1:11" s="5" customFormat="1" ht="23.1" customHeight="1">
      <c r="A33" s="16">
        <v>25</v>
      </c>
      <c r="B33" s="10" t="s">
        <v>32</v>
      </c>
      <c r="C33" s="11">
        <v>5709152</v>
      </c>
      <c r="D33" s="12">
        <v>15</v>
      </c>
      <c r="E33" s="12">
        <v>15</v>
      </c>
      <c r="F33" s="12">
        <v>15</v>
      </c>
      <c r="G33" s="13">
        <f t="shared" si="2"/>
        <v>40</v>
      </c>
      <c r="H33" s="13">
        <v>19</v>
      </c>
      <c r="I33" s="13">
        <v>25</v>
      </c>
      <c r="J33" s="13">
        <f t="shared" si="3"/>
        <v>44</v>
      </c>
      <c r="K33" s="13">
        <f t="shared" si="4"/>
        <v>84</v>
      </c>
    </row>
    <row r="34" spans="1:11" s="5" customFormat="1" ht="23.1" customHeight="1">
      <c r="A34" s="16">
        <v>26</v>
      </c>
      <c r="B34" s="10" t="s">
        <v>29</v>
      </c>
      <c r="C34" s="11">
        <v>5934930</v>
      </c>
      <c r="D34" s="12">
        <v>14</v>
      </c>
      <c r="E34" s="12">
        <v>14</v>
      </c>
      <c r="F34" s="12">
        <v>15</v>
      </c>
      <c r="G34" s="13">
        <f t="shared" si="2"/>
        <v>38.222222222222221</v>
      </c>
      <c r="H34" s="13">
        <v>24</v>
      </c>
      <c r="I34" s="13">
        <v>24</v>
      </c>
      <c r="J34" s="13">
        <f t="shared" si="3"/>
        <v>48</v>
      </c>
      <c r="K34" s="13">
        <f t="shared" si="4"/>
        <v>86.222222222222229</v>
      </c>
    </row>
    <row r="35" spans="1:11" s="5" customFormat="1" ht="23.1" customHeight="1">
      <c r="A35" s="16">
        <v>27</v>
      </c>
      <c r="B35" s="10" t="s">
        <v>35</v>
      </c>
      <c r="C35" s="11">
        <v>7071658</v>
      </c>
      <c r="D35" s="12">
        <v>13</v>
      </c>
      <c r="E35" s="12">
        <v>15</v>
      </c>
      <c r="F35" s="12">
        <v>15</v>
      </c>
      <c r="G35" s="13">
        <f t="shared" si="2"/>
        <v>38.222222222222221</v>
      </c>
      <c r="H35" s="13">
        <v>18</v>
      </c>
      <c r="I35" s="13">
        <v>26</v>
      </c>
      <c r="J35" s="13">
        <f t="shared" si="3"/>
        <v>44</v>
      </c>
      <c r="K35" s="13">
        <f t="shared" si="4"/>
        <v>82.222222222222229</v>
      </c>
    </row>
    <row r="36" spans="1:11" s="5" customFormat="1" ht="23.1" customHeight="1">
      <c r="A36" s="16">
        <v>28</v>
      </c>
      <c r="B36" s="10" t="s">
        <v>22</v>
      </c>
      <c r="C36" s="11">
        <v>5769670</v>
      </c>
      <c r="D36" s="12">
        <v>15</v>
      </c>
      <c r="E36" s="12">
        <v>15</v>
      </c>
      <c r="F36" s="12">
        <v>15</v>
      </c>
      <c r="G36" s="13">
        <f t="shared" si="2"/>
        <v>40</v>
      </c>
      <c r="H36" s="13">
        <v>25</v>
      </c>
      <c r="I36" s="13">
        <v>26</v>
      </c>
      <c r="J36" s="13">
        <f t="shared" si="3"/>
        <v>51</v>
      </c>
      <c r="K36" s="13">
        <f t="shared" si="4"/>
        <v>91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N10" sqref="N10"/>
    </sheetView>
  </sheetViews>
  <sheetFormatPr baseColWidth="10" defaultRowHeight="15"/>
  <cols>
    <col min="1" max="1" width="4.85546875" bestFit="1" customWidth="1"/>
    <col min="2" max="2" width="41.5703125" customWidth="1"/>
    <col min="3" max="3" width="10.85546875" bestFit="1" customWidth="1"/>
    <col min="4" max="6" width="5.7109375" customWidth="1"/>
    <col min="7" max="7" width="7.7109375" customWidth="1"/>
    <col min="8" max="11" width="6.7109375" customWidth="1"/>
  </cols>
  <sheetData>
    <row r="1" spans="1:11">
      <c r="A1" s="22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8" t="s">
        <v>16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35.1" customHeight="1">
      <c r="A6" s="25" t="s">
        <v>2</v>
      </c>
      <c r="B6" s="25" t="s">
        <v>3</v>
      </c>
      <c r="C6" s="26" t="s">
        <v>4</v>
      </c>
      <c r="D6" s="27" t="s">
        <v>5</v>
      </c>
      <c r="E6" s="27"/>
      <c r="F6" s="27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5"/>
      <c r="B7" s="25"/>
      <c r="C7" s="26"/>
      <c r="D7" s="9" t="s">
        <v>10</v>
      </c>
      <c r="E7" s="9" t="s">
        <v>11</v>
      </c>
      <c r="F7" s="9" t="s">
        <v>12</v>
      </c>
      <c r="G7" s="18"/>
      <c r="H7" s="8" t="s">
        <v>13</v>
      </c>
      <c r="I7" s="8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5" customFormat="1" ht="23.1" customHeight="1">
      <c r="A9" s="16">
        <v>1</v>
      </c>
      <c r="B9" s="10" t="s">
        <v>65</v>
      </c>
      <c r="C9" s="11">
        <v>5869581</v>
      </c>
      <c r="D9" s="12">
        <v>13</v>
      </c>
      <c r="E9" s="12">
        <v>14</v>
      </c>
      <c r="F9" s="12">
        <v>15</v>
      </c>
      <c r="G9" s="13">
        <f t="shared" ref="G9:G36" si="2">SUM(D9:F9)*100/45*0.4</f>
        <v>37.333333333333336</v>
      </c>
      <c r="H9" s="13">
        <v>16</v>
      </c>
      <c r="I9" s="13">
        <v>20</v>
      </c>
      <c r="J9" s="13">
        <f t="shared" ref="J9:J36" si="3">SUM(H9:I9)</f>
        <v>36</v>
      </c>
      <c r="K9" s="13">
        <f t="shared" ref="K9:K36" si="4">G9+J9</f>
        <v>73.333333333333343</v>
      </c>
    </row>
    <row r="10" spans="1:11" s="5" customFormat="1" ht="23.1" customHeight="1">
      <c r="A10" s="16">
        <v>2</v>
      </c>
      <c r="B10" s="10" t="s">
        <v>66</v>
      </c>
      <c r="C10" s="11">
        <v>6969791</v>
      </c>
      <c r="D10" s="12">
        <v>13</v>
      </c>
      <c r="E10" s="12">
        <v>15</v>
      </c>
      <c r="F10" s="12">
        <v>15</v>
      </c>
      <c r="G10" s="13">
        <f t="shared" si="2"/>
        <v>38.222222222222221</v>
      </c>
      <c r="H10" s="13">
        <v>14</v>
      </c>
      <c r="I10" s="13">
        <v>21</v>
      </c>
      <c r="J10" s="13">
        <f t="shared" si="3"/>
        <v>35</v>
      </c>
      <c r="K10" s="13">
        <f t="shared" si="4"/>
        <v>73.222222222222229</v>
      </c>
    </row>
    <row r="11" spans="1:11" s="5" customFormat="1" ht="23.1" customHeight="1">
      <c r="A11" s="16">
        <v>3</v>
      </c>
      <c r="B11" s="10" t="s">
        <v>50</v>
      </c>
      <c r="C11" s="11">
        <v>5774332</v>
      </c>
      <c r="D11" s="12">
        <v>15</v>
      </c>
      <c r="E11" s="12">
        <v>11</v>
      </c>
      <c r="F11" s="12">
        <v>13</v>
      </c>
      <c r="G11" s="13">
        <f t="shared" si="2"/>
        <v>34.666666666666671</v>
      </c>
      <c r="H11" s="13">
        <v>23</v>
      </c>
      <c r="I11" s="13">
        <v>20</v>
      </c>
      <c r="J11" s="13">
        <f t="shared" si="3"/>
        <v>43</v>
      </c>
      <c r="K11" s="13">
        <f t="shared" si="4"/>
        <v>77.666666666666671</v>
      </c>
    </row>
    <row r="12" spans="1:11" s="5" customFormat="1" ht="23.1" customHeight="1">
      <c r="A12" s="16">
        <v>4</v>
      </c>
      <c r="B12" s="10" t="s">
        <v>51</v>
      </c>
      <c r="C12" s="11">
        <v>7142714</v>
      </c>
      <c r="D12" s="12">
        <v>14</v>
      </c>
      <c r="E12" s="12">
        <v>14</v>
      </c>
      <c r="F12" s="12">
        <v>15</v>
      </c>
      <c r="G12" s="13">
        <f t="shared" si="2"/>
        <v>38.222222222222221</v>
      </c>
      <c r="H12" s="13">
        <v>16</v>
      </c>
      <c r="I12" s="13">
        <v>23</v>
      </c>
      <c r="J12" s="13">
        <f t="shared" si="3"/>
        <v>39</v>
      </c>
      <c r="K12" s="13">
        <f t="shared" si="4"/>
        <v>77.222222222222229</v>
      </c>
    </row>
    <row r="13" spans="1:11" s="5" customFormat="1" ht="23.1" customHeight="1">
      <c r="A13" s="16">
        <v>5</v>
      </c>
      <c r="B13" s="10" t="s">
        <v>75</v>
      </c>
      <c r="C13" s="11">
        <v>7047541</v>
      </c>
      <c r="D13" s="12">
        <v>13</v>
      </c>
      <c r="E13" s="12">
        <v>15</v>
      </c>
      <c r="F13" s="12">
        <v>15</v>
      </c>
      <c r="G13" s="13">
        <f t="shared" si="2"/>
        <v>38.222222222222221</v>
      </c>
      <c r="H13" s="13">
        <v>13</v>
      </c>
      <c r="I13" s="13">
        <v>19</v>
      </c>
      <c r="J13" s="13">
        <f t="shared" si="3"/>
        <v>32</v>
      </c>
      <c r="K13" s="13">
        <f t="shared" si="4"/>
        <v>70.222222222222229</v>
      </c>
    </row>
    <row r="14" spans="1:11" s="5" customFormat="1" ht="23.1" customHeight="1">
      <c r="A14" s="16">
        <v>6</v>
      </c>
      <c r="B14" s="10" t="s">
        <v>63</v>
      </c>
      <c r="C14" s="11">
        <v>6197024</v>
      </c>
      <c r="D14" s="12">
        <v>15</v>
      </c>
      <c r="E14" s="12">
        <v>15</v>
      </c>
      <c r="F14" s="12">
        <v>15</v>
      </c>
      <c r="G14" s="13">
        <f t="shared" si="2"/>
        <v>40</v>
      </c>
      <c r="H14" s="13">
        <v>15</v>
      </c>
      <c r="I14" s="13">
        <v>19</v>
      </c>
      <c r="J14" s="13">
        <f t="shared" si="3"/>
        <v>34</v>
      </c>
      <c r="K14" s="13">
        <f t="shared" si="4"/>
        <v>74</v>
      </c>
    </row>
    <row r="15" spans="1:11" s="5" customFormat="1" ht="23.1" customHeight="1">
      <c r="A15" s="16">
        <v>7</v>
      </c>
      <c r="B15" s="10" t="s">
        <v>52</v>
      </c>
      <c r="C15" s="11">
        <v>6042980</v>
      </c>
      <c r="D15" s="12">
        <v>15</v>
      </c>
      <c r="E15" s="12">
        <v>15</v>
      </c>
      <c r="F15" s="12">
        <v>15</v>
      </c>
      <c r="G15" s="13">
        <f t="shared" si="2"/>
        <v>40</v>
      </c>
      <c r="H15" s="13">
        <v>15</v>
      </c>
      <c r="I15" s="13">
        <v>22</v>
      </c>
      <c r="J15" s="13">
        <f t="shared" si="3"/>
        <v>37</v>
      </c>
      <c r="K15" s="13">
        <f t="shared" si="4"/>
        <v>77</v>
      </c>
    </row>
    <row r="16" spans="1:11" s="5" customFormat="1" ht="23.1" customHeight="1">
      <c r="A16" s="16">
        <v>8</v>
      </c>
      <c r="B16" s="10" t="s">
        <v>70</v>
      </c>
      <c r="C16" s="11">
        <v>5758345</v>
      </c>
      <c r="D16" s="12">
        <v>15</v>
      </c>
      <c r="E16" s="12">
        <v>15</v>
      </c>
      <c r="F16" s="12">
        <v>15</v>
      </c>
      <c r="G16" s="13">
        <f t="shared" si="2"/>
        <v>40</v>
      </c>
      <c r="H16" s="13">
        <v>13</v>
      </c>
      <c r="I16" s="13">
        <v>19</v>
      </c>
      <c r="J16" s="13">
        <f t="shared" si="3"/>
        <v>32</v>
      </c>
      <c r="K16" s="13">
        <f t="shared" si="4"/>
        <v>72</v>
      </c>
    </row>
    <row r="17" spans="1:11" s="5" customFormat="1" ht="23.1" customHeight="1">
      <c r="A17" s="16">
        <v>9</v>
      </c>
      <c r="B17" s="10" t="s">
        <v>58</v>
      </c>
      <c r="C17" s="11">
        <v>6950931</v>
      </c>
      <c r="D17" s="12">
        <v>15</v>
      </c>
      <c r="E17" s="12">
        <v>15</v>
      </c>
      <c r="F17" s="12">
        <v>15</v>
      </c>
      <c r="G17" s="13">
        <f t="shared" si="2"/>
        <v>40</v>
      </c>
      <c r="H17" s="13">
        <v>16</v>
      </c>
      <c r="I17" s="13">
        <v>19</v>
      </c>
      <c r="J17" s="13">
        <f t="shared" si="3"/>
        <v>35</v>
      </c>
      <c r="K17" s="13">
        <f t="shared" si="4"/>
        <v>75</v>
      </c>
    </row>
    <row r="18" spans="1:11" s="5" customFormat="1" ht="23.1" customHeight="1">
      <c r="A18" s="16">
        <v>10</v>
      </c>
      <c r="B18" s="10" t="s">
        <v>56</v>
      </c>
      <c r="C18" s="11">
        <v>5630133</v>
      </c>
      <c r="D18" s="12">
        <v>15</v>
      </c>
      <c r="E18" s="12">
        <v>12</v>
      </c>
      <c r="F18" s="12">
        <v>15</v>
      </c>
      <c r="G18" s="13">
        <f t="shared" si="2"/>
        <v>37.333333333333336</v>
      </c>
      <c r="H18" s="13">
        <v>17</v>
      </c>
      <c r="I18" s="13">
        <v>21</v>
      </c>
      <c r="J18" s="13">
        <f t="shared" si="3"/>
        <v>38</v>
      </c>
      <c r="K18" s="13">
        <f t="shared" si="4"/>
        <v>75.333333333333343</v>
      </c>
    </row>
    <row r="19" spans="1:11" s="5" customFormat="1" ht="23.1" customHeight="1">
      <c r="A19" s="16">
        <v>11</v>
      </c>
      <c r="B19" s="10" t="s">
        <v>57</v>
      </c>
      <c r="C19" s="11">
        <v>6504141</v>
      </c>
      <c r="D19" s="12">
        <v>14</v>
      </c>
      <c r="E19" s="12">
        <v>14</v>
      </c>
      <c r="F19" s="12">
        <v>14</v>
      </c>
      <c r="G19" s="13">
        <f t="shared" si="2"/>
        <v>37.333333333333336</v>
      </c>
      <c r="H19" s="13">
        <v>18</v>
      </c>
      <c r="I19" s="13">
        <v>20</v>
      </c>
      <c r="J19" s="13">
        <f t="shared" si="3"/>
        <v>38</v>
      </c>
      <c r="K19" s="13">
        <f t="shared" si="4"/>
        <v>75.333333333333343</v>
      </c>
    </row>
    <row r="20" spans="1:11" s="5" customFormat="1" ht="23.1" customHeight="1">
      <c r="A20" s="16">
        <v>12</v>
      </c>
      <c r="B20" s="10" t="s">
        <v>69</v>
      </c>
      <c r="C20" s="11">
        <v>5767507</v>
      </c>
      <c r="D20" s="12">
        <v>14</v>
      </c>
      <c r="E20" s="12">
        <v>15</v>
      </c>
      <c r="F20" s="12">
        <v>15</v>
      </c>
      <c r="G20" s="13">
        <f t="shared" si="2"/>
        <v>39.111111111111114</v>
      </c>
      <c r="H20" s="13">
        <v>16</v>
      </c>
      <c r="I20" s="13">
        <v>17</v>
      </c>
      <c r="J20" s="13">
        <f t="shared" si="3"/>
        <v>33</v>
      </c>
      <c r="K20" s="13">
        <f t="shared" si="4"/>
        <v>72.111111111111114</v>
      </c>
    </row>
    <row r="21" spans="1:11" s="5" customFormat="1" ht="23.1" customHeight="1">
      <c r="A21" s="16">
        <v>13</v>
      </c>
      <c r="B21" s="10" t="s">
        <v>74</v>
      </c>
      <c r="C21" s="11">
        <v>5647166</v>
      </c>
      <c r="D21" s="12">
        <v>13</v>
      </c>
      <c r="E21" s="12">
        <v>14</v>
      </c>
      <c r="F21" s="12">
        <v>15</v>
      </c>
      <c r="G21" s="13">
        <f t="shared" si="2"/>
        <v>37.333333333333336</v>
      </c>
      <c r="H21" s="13">
        <v>14</v>
      </c>
      <c r="I21" s="13">
        <v>19</v>
      </c>
      <c r="J21" s="13">
        <f t="shared" si="3"/>
        <v>33</v>
      </c>
      <c r="K21" s="13">
        <f t="shared" si="4"/>
        <v>70.333333333333343</v>
      </c>
    </row>
    <row r="22" spans="1:11" s="5" customFormat="1" ht="23.1" customHeight="1">
      <c r="A22" s="16">
        <v>14</v>
      </c>
      <c r="B22" s="10" t="s">
        <v>62</v>
      </c>
      <c r="C22" s="11">
        <v>7912754</v>
      </c>
      <c r="D22" s="12">
        <v>14</v>
      </c>
      <c r="E22" s="12">
        <v>14</v>
      </c>
      <c r="F22" s="12">
        <v>15</v>
      </c>
      <c r="G22" s="13">
        <f t="shared" si="2"/>
        <v>38.222222222222221</v>
      </c>
      <c r="H22" s="13">
        <v>15</v>
      </c>
      <c r="I22" s="13">
        <v>21</v>
      </c>
      <c r="J22" s="13">
        <f t="shared" si="3"/>
        <v>36</v>
      </c>
      <c r="K22" s="13">
        <f t="shared" si="4"/>
        <v>74.222222222222229</v>
      </c>
    </row>
    <row r="23" spans="1:11" s="5" customFormat="1" ht="23.1" customHeight="1">
      <c r="A23" s="16">
        <v>15</v>
      </c>
      <c r="B23" s="10" t="s">
        <v>54</v>
      </c>
      <c r="C23" s="11">
        <v>5921080</v>
      </c>
      <c r="D23" s="12">
        <v>15</v>
      </c>
      <c r="E23" s="12">
        <v>15</v>
      </c>
      <c r="F23" s="12">
        <v>15</v>
      </c>
      <c r="G23" s="13">
        <f t="shared" si="2"/>
        <v>40</v>
      </c>
      <c r="H23" s="13">
        <v>18</v>
      </c>
      <c r="I23" s="13">
        <v>18</v>
      </c>
      <c r="J23" s="13">
        <f t="shared" si="3"/>
        <v>36</v>
      </c>
      <c r="K23" s="13">
        <f t="shared" si="4"/>
        <v>76</v>
      </c>
    </row>
    <row r="24" spans="1:11" s="5" customFormat="1" ht="23.1" customHeight="1">
      <c r="A24" s="16">
        <v>16</v>
      </c>
      <c r="B24" s="10" t="s">
        <v>67</v>
      </c>
      <c r="C24" s="11">
        <v>8249699</v>
      </c>
      <c r="D24" s="12">
        <v>15</v>
      </c>
      <c r="E24" s="12">
        <v>15</v>
      </c>
      <c r="F24" s="12">
        <v>15</v>
      </c>
      <c r="G24" s="13">
        <f t="shared" si="2"/>
        <v>40</v>
      </c>
      <c r="H24" s="13">
        <v>16</v>
      </c>
      <c r="I24" s="13">
        <v>17</v>
      </c>
      <c r="J24" s="13">
        <f t="shared" si="3"/>
        <v>33</v>
      </c>
      <c r="K24" s="13">
        <f t="shared" si="4"/>
        <v>73</v>
      </c>
    </row>
    <row r="25" spans="1:11" s="5" customFormat="1" ht="23.1" customHeight="1">
      <c r="A25" s="16">
        <v>17</v>
      </c>
      <c r="B25" s="10" t="s">
        <v>72</v>
      </c>
      <c r="C25" s="11">
        <v>5661505</v>
      </c>
      <c r="D25" s="12">
        <v>10</v>
      </c>
      <c r="E25" s="12">
        <v>13</v>
      </c>
      <c r="F25" s="12">
        <v>15</v>
      </c>
      <c r="G25" s="13">
        <f t="shared" si="2"/>
        <v>33.777777777777779</v>
      </c>
      <c r="H25" s="13">
        <v>15</v>
      </c>
      <c r="I25" s="13">
        <v>23</v>
      </c>
      <c r="J25" s="13">
        <f t="shared" si="3"/>
        <v>38</v>
      </c>
      <c r="K25" s="13">
        <f t="shared" si="4"/>
        <v>71.777777777777771</v>
      </c>
    </row>
    <row r="26" spans="1:11" s="5" customFormat="1" ht="23.1" customHeight="1">
      <c r="A26" s="16">
        <v>18</v>
      </c>
      <c r="B26" s="10" t="s">
        <v>59</v>
      </c>
      <c r="C26" s="11">
        <v>5732986</v>
      </c>
      <c r="D26" s="12">
        <v>15</v>
      </c>
      <c r="E26" s="12">
        <v>15</v>
      </c>
      <c r="F26" s="12">
        <v>15</v>
      </c>
      <c r="G26" s="13">
        <f t="shared" si="2"/>
        <v>40</v>
      </c>
      <c r="H26" s="13">
        <v>17</v>
      </c>
      <c r="I26" s="13">
        <v>18</v>
      </c>
      <c r="J26" s="13">
        <f t="shared" si="3"/>
        <v>35</v>
      </c>
      <c r="K26" s="13">
        <f t="shared" si="4"/>
        <v>75</v>
      </c>
    </row>
    <row r="27" spans="1:11" s="5" customFormat="1" ht="23.1" customHeight="1">
      <c r="A27" s="16">
        <v>19</v>
      </c>
      <c r="B27" s="10" t="s">
        <v>55</v>
      </c>
      <c r="C27" s="11">
        <v>6049758</v>
      </c>
      <c r="D27" s="11">
        <v>15</v>
      </c>
      <c r="E27" s="11">
        <v>15</v>
      </c>
      <c r="F27" s="11">
        <v>15</v>
      </c>
      <c r="G27" s="13">
        <f t="shared" si="2"/>
        <v>40</v>
      </c>
      <c r="H27" s="13">
        <v>15</v>
      </c>
      <c r="I27" s="13">
        <v>21</v>
      </c>
      <c r="J27" s="13">
        <f t="shared" si="3"/>
        <v>36</v>
      </c>
      <c r="K27" s="13">
        <f t="shared" si="4"/>
        <v>76</v>
      </c>
    </row>
    <row r="28" spans="1:11" s="5" customFormat="1" ht="23.1" customHeight="1">
      <c r="A28" s="16">
        <v>20</v>
      </c>
      <c r="B28" s="10" t="s">
        <v>68</v>
      </c>
      <c r="C28" s="11">
        <v>5929333</v>
      </c>
      <c r="D28" s="12">
        <v>12</v>
      </c>
      <c r="E28" s="12">
        <v>14</v>
      </c>
      <c r="F28" s="12">
        <v>14</v>
      </c>
      <c r="G28" s="13">
        <f t="shared" si="2"/>
        <v>35.555555555555557</v>
      </c>
      <c r="H28" s="13">
        <v>15</v>
      </c>
      <c r="I28" s="13">
        <v>22</v>
      </c>
      <c r="J28" s="13">
        <f t="shared" si="3"/>
        <v>37</v>
      </c>
      <c r="K28" s="13">
        <f t="shared" si="4"/>
        <v>72.555555555555557</v>
      </c>
    </row>
    <row r="29" spans="1:11" s="5" customFormat="1" ht="23.1" customHeight="1">
      <c r="A29" s="16">
        <v>21</v>
      </c>
      <c r="B29" s="10" t="s">
        <v>73</v>
      </c>
      <c r="C29" s="11">
        <v>6022141</v>
      </c>
      <c r="D29" s="12">
        <v>13</v>
      </c>
      <c r="E29" s="12">
        <v>15</v>
      </c>
      <c r="F29" s="12">
        <v>15</v>
      </c>
      <c r="G29" s="13">
        <f t="shared" si="2"/>
        <v>38.222222222222221</v>
      </c>
      <c r="H29" s="13">
        <v>11</v>
      </c>
      <c r="I29" s="13">
        <v>22</v>
      </c>
      <c r="J29" s="13">
        <f t="shared" si="3"/>
        <v>33</v>
      </c>
      <c r="K29" s="13">
        <f t="shared" si="4"/>
        <v>71.222222222222229</v>
      </c>
    </row>
    <row r="30" spans="1:11" s="5" customFormat="1" ht="23.1" customHeight="1">
      <c r="A30" s="16">
        <v>22</v>
      </c>
      <c r="B30" s="10" t="s">
        <v>60</v>
      </c>
      <c r="C30" s="11">
        <v>6166496</v>
      </c>
      <c r="D30" s="12">
        <v>15</v>
      </c>
      <c r="E30" s="12">
        <v>15</v>
      </c>
      <c r="F30" s="12">
        <v>15</v>
      </c>
      <c r="G30" s="13">
        <f t="shared" si="2"/>
        <v>40</v>
      </c>
      <c r="H30" s="13">
        <v>13</v>
      </c>
      <c r="I30" s="13">
        <v>22</v>
      </c>
      <c r="J30" s="13">
        <f t="shared" si="3"/>
        <v>35</v>
      </c>
      <c r="K30" s="13">
        <f t="shared" si="4"/>
        <v>75</v>
      </c>
    </row>
    <row r="31" spans="1:11" s="5" customFormat="1" ht="23.1" customHeight="1">
      <c r="A31" s="16">
        <v>23</v>
      </c>
      <c r="B31" s="10" t="s">
        <v>53</v>
      </c>
      <c r="C31" s="11">
        <v>5769912</v>
      </c>
      <c r="D31" s="12">
        <v>15</v>
      </c>
      <c r="E31" s="12">
        <v>15</v>
      </c>
      <c r="F31" s="12">
        <v>15</v>
      </c>
      <c r="G31" s="13">
        <f t="shared" si="2"/>
        <v>40</v>
      </c>
      <c r="H31" s="13">
        <v>20</v>
      </c>
      <c r="I31" s="13">
        <v>17</v>
      </c>
      <c r="J31" s="13">
        <f t="shared" si="3"/>
        <v>37</v>
      </c>
      <c r="K31" s="13">
        <f t="shared" si="4"/>
        <v>77</v>
      </c>
    </row>
    <row r="32" spans="1:11" s="5" customFormat="1" ht="23.1" customHeight="1">
      <c r="A32" s="16">
        <v>24</v>
      </c>
      <c r="B32" s="10" t="s">
        <v>64</v>
      </c>
      <c r="C32" s="11">
        <v>6142724</v>
      </c>
      <c r="D32" s="12">
        <v>15</v>
      </c>
      <c r="E32" s="12">
        <v>15</v>
      </c>
      <c r="F32" s="12">
        <v>15</v>
      </c>
      <c r="G32" s="13">
        <f t="shared" si="2"/>
        <v>40</v>
      </c>
      <c r="H32" s="13">
        <v>17</v>
      </c>
      <c r="I32" s="13">
        <v>17</v>
      </c>
      <c r="J32" s="13">
        <f t="shared" si="3"/>
        <v>34</v>
      </c>
      <c r="K32" s="13">
        <f t="shared" si="4"/>
        <v>74</v>
      </c>
    </row>
    <row r="33" spans="1:11" s="5" customFormat="1" ht="23.1" customHeight="1">
      <c r="A33" s="16">
        <v>25</v>
      </c>
      <c r="B33" s="10" t="s">
        <v>61</v>
      </c>
      <c r="C33" s="11">
        <v>6168424</v>
      </c>
      <c r="D33" s="12">
        <v>15</v>
      </c>
      <c r="E33" s="12">
        <v>15</v>
      </c>
      <c r="F33" s="12">
        <v>15</v>
      </c>
      <c r="G33" s="13">
        <f t="shared" si="2"/>
        <v>40</v>
      </c>
      <c r="H33" s="13">
        <v>13</v>
      </c>
      <c r="I33" s="13">
        <v>22</v>
      </c>
      <c r="J33" s="13">
        <f t="shared" si="3"/>
        <v>35</v>
      </c>
      <c r="K33" s="13">
        <f t="shared" si="4"/>
        <v>75</v>
      </c>
    </row>
    <row r="34" spans="1:11" s="5" customFormat="1" ht="23.1" customHeight="1">
      <c r="A34" s="16">
        <v>26</v>
      </c>
      <c r="B34" s="10" t="s">
        <v>71</v>
      </c>
      <c r="C34" s="11">
        <v>6102027</v>
      </c>
      <c r="D34" s="12">
        <v>15</v>
      </c>
      <c r="E34" s="12">
        <v>15</v>
      </c>
      <c r="F34" s="12">
        <v>15</v>
      </c>
      <c r="G34" s="13">
        <f t="shared" si="2"/>
        <v>40</v>
      </c>
      <c r="H34" s="13">
        <v>15</v>
      </c>
      <c r="I34" s="13">
        <v>17</v>
      </c>
      <c r="J34" s="13">
        <f t="shared" si="3"/>
        <v>32</v>
      </c>
      <c r="K34" s="13">
        <f t="shared" si="4"/>
        <v>72</v>
      </c>
    </row>
    <row r="35" spans="1:11" s="5" customFormat="1" ht="23.1" customHeight="1">
      <c r="A35" s="16">
        <v>27</v>
      </c>
      <c r="B35" s="10" t="s">
        <v>48</v>
      </c>
      <c r="C35" s="11">
        <v>8012090</v>
      </c>
      <c r="D35" s="12">
        <v>15</v>
      </c>
      <c r="E35" s="12">
        <v>15</v>
      </c>
      <c r="F35" s="12">
        <v>15</v>
      </c>
      <c r="G35" s="13">
        <f t="shared" si="2"/>
        <v>40</v>
      </c>
      <c r="H35" s="13">
        <v>16</v>
      </c>
      <c r="I35" s="13">
        <v>22</v>
      </c>
      <c r="J35" s="13">
        <f t="shared" si="3"/>
        <v>38</v>
      </c>
      <c r="K35" s="13">
        <f t="shared" si="4"/>
        <v>78</v>
      </c>
    </row>
    <row r="36" spans="1:11" s="5" customFormat="1" ht="23.1" customHeight="1">
      <c r="A36" s="16">
        <v>28</v>
      </c>
      <c r="B36" s="10" t="s">
        <v>49</v>
      </c>
      <c r="C36" s="11">
        <v>7084310</v>
      </c>
      <c r="D36" s="12">
        <v>15</v>
      </c>
      <c r="E36" s="12">
        <v>15</v>
      </c>
      <c r="F36" s="12">
        <v>15</v>
      </c>
      <c r="G36" s="13">
        <f t="shared" si="2"/>
        <v>40</v>
      </c>
      <c r="H36" s="13">
        <v>16</v>
      </c>
      <c r="I36" s="13">
        <v>22</v>
      </c>
      <c r="J36" s="13">
        <f t="shared" si="3"/>
        <v>38</v>
      </c>
      <c r="K36" s="13">
        <f t="shared" si="4"/>
        <v>78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sqref="A1:K1"/>
    </sheetView>
  </sheetViews>
  <sheetFormatPr baseColWidth="10" defaultRowHeight="15"/>
  <cols>
    <col min="1" max="1" width="3.5703125" bestFit="1" customWidth="1"/>
    <col min="2" max="2" width="44.7109375" customWidth="1"/>
    <col min="3" max="3" width="10" bestFit="1" customWidth="1"/>
    <col min="4" max="6" width="5.7109375" customWidth="1"/>
    <col min="7" max="11" width="6.7109375" customWidth="1"/>
  </cols>
  <sheetData>
    <row r="1" spans="1:11">
      <c r="A1" s="22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8" t="s">
        <v>18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35.1" customHeight="1">
      <c r="A6" s="25" t="s">
        <v>2</v>
      </c>
      <c r="B6" s="25" t="s">
        <v>3</v>
      </c>
      <c r="C6" s="26" t="s">
        <v>4</v>
      </c>
      <c r="D6" s="27" t="s">
        <v>5</v>
      </c>
      <c r="E6" s="27"/>
      <c r="F6" s="27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5"/>
      <c r="B7" s="25"/>
      <c r="C7" s="26"/>
      <c r="D7" s="9" t="s">
        <v>10</v>
      </c>
      <c r="E7" s="9" t="s">
        <v>11</v>
      </c>
      <c r="F7" s="9" t="s">
        <v>12</v>
      </c>
      <c r="G7" s="18"/>
      <c r="H7" s="8" t="s">
        <v>13</v>
      </c>
      <c r="I7" s="8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5" customFormat="1" ht="23.1" customHeight="1">
      <c r="A9" s="16">
        <v>1</v>
      </c>
      <c r="B9" s="10" t="s">
        <v>93</v>
      </c>
      <c r="C9" s="11">
        <v>5929089</v>
      </c>
      <c r="D9" s="12">
        <v>14</v>
      </c>
      <c r="E9" s="12">
        <v>15</v>
      </c>
      <c r="F9" s="12">
        <v>14</v>
      </c>
      <c r="G9" s="13">
        <f t="shared" ref="G9:G36" si="2">SUM(D9:F9)*100/45*0.4</f>
        <v>38.222222222222221</v>
      </c>
      <c r="H9" s="13">
        <v>11</v>
      </c>
      <c r="I9" s="13">
        <v>15</v>
      </c>
      <c r="J9" s="13">
        <f t="shared" ref="J9:J36" si="3">SUM(H9:I9)</f>
        <v>26</v>
      </c>
      <c r="K9" s="13">
        <f t="shared" ref="K9:K36" si="4">G9+J9</f>
        <v>64.222222222222229</v>
      </c>
    </row>
    <row r="10" spans="1:11" s="5" customFormat="1" ht="23.1" customHeight="1">
      <c r="A10" s="16">
        <v>2</v>
      </c>
      <c r="B10" s="10" t="s">
        <v>83</v>
      </c>
      <c r="C10" s="11">
        <v>5729995</v>
      </c>
      <c r="D10" s="12">
        <v>15</v>
      </c>
      <c r="E10" s="12">
        <v>15</v>
      </c>
      <c r="F10" s="12">
        <v>15</v>
      </c>
      <c r="G10" s="13">
        <f t="shared" si="2"/>
        <v>40</v>
      </c>
      <c r="H10" s="13">
        <v>11</v>
      </c>
      <c r="I10" s="13">
        <v>16</v>
      </c>
      <c r="J10" s="13">
        <f t="shared" si="3"/>
        <v>27</v>
      </c>
      <c r="K10" s="13">
        <f t="shared" si="4"/>
        <v>67</v>
      </c>
    </row>
    <row r="11" spans="1:11" s="5" customFormat="1" ht="23.1" customHeight="1">
      <c r="A11" s="16">
        <v>3</v>
      </c>
      <c r="B11" s="10" t="s">
        <v>100</v>
      </c>
      <c r="C11" s="11">
        <v>5645007</v>
      </c>
      <c r="D11" s="12">
        <v>12</v>
      </c>
      <c r="E11" s="12">
        <v>14</v>
      </c>
      <c r="F11" s="12">
        <v>15</v>
      </c>
      <c r="G11" s="13">
        <f t="shared" si="2"/>
        <v>36.44444444444445</v>
      </c>
      <c r="H11" s="13">
        <v>11</v>
      </c>
      <c r="I11" s="13">
        <v>15</v>
      </c>
      <c r="J11" s="13">
        <f t="shared" si="3"/>
        <v>26</v>
      </c>
      <c r="K11" s="13">
        <f t="shared" si="4"/>
        <v>62.44444444444445</v>
      </c>
    </row>
    <row r="12" spans="1:11" s="5" customFormat="1" ht="23.1" customHeight="1">
      <c r="A12" s="16">
        <v>4</v>
      </c>
      <c r="B12" s="10" t="s">
        <v>103</v>
      </c>
      <c r="C12" s="11">
        <v>5988306</v>
      </c>
      <c r="D12" s="12">
        <v>12</v>
      </c>
      <c r="E12" s="12">
        <v>11</v>
      </c>
      <c r="F12" s="12">
        <v>12</v>
      </c>
      <c r="G12" s="13">
        <f t="shared" si="2"/>
        <v>31.111111111111111</v>
      </c>
      <c r="H12" s="13">
        <v>14</v>
      </c>
      <c r="I12" s="13">
        <v>16</v>
      </c>
      <c r="J12" s="13">
        <f t="shared" si="3"/>
        <v>30</v>
      </c>
      <c r="K12" s="13">
        <f t="shared" si="4"/>
        <v>61.111111111111114</v>
      </c>
    </row>
    <row r="13" spans="1:11" s="5" customFormat="1" ht="23.1" customHeight="1">
      <c r="A13" s="16">
        <v>5</v>
      </c>
      <c r="B13" s="10" t="s">
        <v>78</v>
      </c>
      <c r="C13" s="11">
        <v>5712477</v>
      </c>
      <c r="D13" s="12">
        <v>12</v>
      </c>
      <c r="E13" s="12">
        <v>12</v>
      </c>
      <c r="F13" s="12">
        <v>15</v>
      </c>
      <c r="G13" s="13">
        <f t="shared" si="2"/>
        <v>34.666666666666671</v>
      </c>
      <c r="H13" s="13">
        <v>15</v>
      </c>
      <c r="I13" s="13">
        <v>20</v>
      </c>
      <c r="J13" s="13">
        <f t="shared" si="3"/>
        <v>35</v>
      </c>
      <c r="K13" s="13">
        <f t="shared" si="4"/>
        <v>69.666666666666671</v>
      </c>
    </row>
    <row r="14" spans="1:11" s="5" customFormat="1" ht="23.1" customHeight="1">
      <c r="A14" s="16">
        <v>6</v>
      </c>
      <c r="B14" s="10" t="s">
        <v>89</v>
      </c>
      <c r="C14" s="11">
        <v>5639575</v>
      </c>
      <c r="D14" s="12">
        <v>12</v>
      </c>
      <c r="E14" s="12">
        <v>11</v>
      </c>
      <c r="F14" s="12">
        <v>13</v>
      </c>
      <c r="G14" s="13">
        <f t="shared" si="2"/>
        <v>32</v>
      </c>
      <c r="H14" s="13">
        <v>14</v>
      </c>
      <c r="I14" s="13">
        <v>19</v>
      </c>
      <c r="J14" s="13">
        <f t="shared" si="3"/>
        <v>33</v>
      </c>
      <c r="K14" s="13">
        <f t="shared" si="4"/>
        <v>65</v>
      </c>
    </row>
    <row r="15" spans="1:11" s="5" customFormat="1" ht="23.1" customHeight="1">
      <c r="A15" s="16">
        <v>7</v>
      </c>
      <c r="B15" s="10" t="s">
        <v>87</v>
      </c>
      <c r="C15" s="11">
        <v>5662211</v>
      </c>
      <c r="D15" s="12">
        <v>14</v>
      </c>
      <c r="E15" s="12">
        <v>12</v>
      </c>
      <c r="F15" s="12">
        <v>15</v>
      </c>
      <c r="G15" s="13">
        <f t="shared" si="2"/>
        <v>36.44444444444445</v>
      </c>
      <c r="H15" s="13">
        <v>10</v>
      </c>
      <c r="I15" s="13">
        <v>19</v>
      </c>
      <c r="J15" s="13">
        <f t="shared" si="3"/>
        <v>29</v>
      </c>
      <c r="K15" s="13">
        <f t="shared" si="4"/>
        <v>65.444444444444457</v>
      </c>
    </row>
    <row r="16" spans="1:11" s="5" customFormat="1" ht="23.1" customHeight="1">
      <c r="A16" s="16">
        <v>8</v>
      </c>
      <c r="B16" s="10" t="s">
        <v>80</v>
      </c>
      <c r="C16" s="11">
        <v>7770874</v>
      </c>
      <c r="D16" s="12">
        <v>10</v>
      </c>
      <c r="E16" s="12">
        <v>10</v>
      </c>
      <c r="F16" s="12">
        <v>15</v>
      </c>
      <c r="G16" s="13">
        <f t="shared" si="2"/>
        <v>31.111111111111111</v>
      </c>
      <c r="H16" s="13">
        <v>15</v>
      </c>
      <c r="I16" s="13">
        <v>22</v>
      </c>
      <c r="J16" s="13">
        <f t="shared" si="3"/>
        <v>37</v>
      </c>
      <c r="K16" s="13">
        <f t="shared" si="4"/>
        <v>68.111111111111114</v>
      </c>
    </row>
    <row r="17" spans="1:11" s="5" customFormat="1" ht="23.1" customHeight="1">
      <c r="A17" s="16">
        <v>9</v>
      </c>
      <c r="B17" s="10" t="s">
        <v>90</v>
      </c>
      <c r="C17" s="11">
        <v>7145820</v>
      </c>
      <c r="D17" s="12">
        <v>15</v>
      </c>
      <c r="E17" s="12">
        <v>6</v>
      </c>
      <c r="F17" s="12">
        <v>15</v>
      </c>
      <c r="G17" s="13">
        <f t="shared" si="2"/>
        <v>32</v>
      </c>
      <c r="H17" s="13">
        <v>14</v>
      </c>
      <c r="I17" s="13">
        <v>19</v>
      </c>
      <c r="J17" s="13">
        <f t="shared" si="3"/>
        <v>33</v>
      </c>
      <c r="K17" s="13">
        <f t="shared" si="4"/>
        <v>65</v>
      </c>
    </row>
    <row r="18" spans="1:11" s="5" customFormat="1" ht="23.1" customHeight="1">
      <c r="A18" s="16">
        <v>10</v>
      </c>
      <c r="B18" s="10" t="s">
        <v>81</v>
      </c>
      <c r="C18" s="11">
        <v>5854794</v>
      </c>
      <c r="D18" s="12">
        <v>11</v>
      </c>
      <c r="E18" s="12">
        <v>13</v>
      </c>
      <c r="F18" s="12">
        <v>15</v>
      </c>
      <c r="G18" s="13">
        <f t="shared" si="2"/>
        <v>34.666666666666671</v>
      </c>
      <c r="H18" s="13">
        <v>14</v>
      </c>
      <c r="I18" s="13">
        <v>19</v>
      </c>
      <c r="J18" s="13">
        <f t="shared" si="3"/>
        <v>33</v>
      </c>
      <c r="K18" s="13">
        <f t="shared" si="4"/>
        <v>67.666666666666671</v>
      </c>
    </row>
    <row r="19" spans="1:11" s="5" customFormat="1" ht="23.1" customHeight="1">
      <c r="A19" s="16">
        <v>11</v>
      </c>
      <c r="B19" s="10" t="s">
        <v>95</v>
      </c>
      <c r="C19" s="11">
        <v>5963754</v>
      </c>
      <c r="D19" s="12">
        <v>11</v>
      </c>
      <c r="E19" s="12">
        <v>13</v>
      </c>
      <c r="F19" s="12">
        <v>15</v>
      </c>
      <c r="G19" s="13">
        <f t="shared" si="2"/>
        <v>34.666666666666671</v>
      </c>
      <c r="H19" s="13">
        <v>11</v>
      </c>
      <c r="I19" s="13">
        <v>18</v>
      </c>
      <c r="J19" s="13">
        <f t="shared" si="3"/>
        <v>29</v>
      </c>
      <c r="K19" s="13">
        <f t="shared" si="4"/>
        <v>63.666666666666671</v>
      </c>
    </row>
    <row r="20" spans="1:11" s="5" customFormat="1" ht="23.1" customHeight="1">
      <c r="A20" s="16">
        <v>12</v>
      </c>
      <c r="B20" s="10" t="s">
        <v>84</v>
      </c>
      <c r="C20" s="11">
        <v>6070266</v>
      </c>
      <c r="D20" s="12">
        <v>11</v>
      </c>
      <c r="E20" s="12">
        <v>13</v>
      </c>
      <c r="F20" s="12">
        <v>15</v>
      </c>
      <c r="G20" s="13">
        <f t="shared" si="2"/>
        <v>34.666666666666671</v>
      </c>
      <c r="H20" s="13">
        <v>13</v>
      </c>
      <c r="I20" s="13">
        <v>19</v>
      </c>
      <c r="J20" s="13">
        <f t="shared" si="3"/>
        <v>32</v>
      </c>
      <c r="K20" s="13">
        <f t="shared" si="4"/>
        <v>66.666666666666671</v>
      </c>
    </row>
    <row r="21" spans="1:11" s="5" customFormat="1" ht="23.1" customHeight="1">
      <c r="A21" s="16">
        <v>13</v>
      </c>
      <c r="B21" s="10" t="s">
        <v>88</v>
      </c>
      <c r="C21" s="11">
        <v>6218665</v>
      </c>
      <c r="D21" s="12">
        <v>15</v>
      </c>
      <c r="E21" s="12">
        <v>13</v>
      </c>
      <c r="F21" s="12">
        <v>14</v>
      </c>
      <c r="G21" s="13">
        <f t="shared" si="2"/>
        <v>37.333333333333336</v>
      </c>
      <c r="H21" s="13">
        <v>11</v>
      </c>
      <c r="I21" s="13">
        <v>17</v>
      </c>
      <c r="J21" s="13">
        <f t="shared" si="3"/>
        <v>28</v>
      </c>
      <c r="K21" s="13">
        <f t="shared" si="4"/>
        <v>65.333333333333343</v>
      </c>
    </row>
    <row r="22" spans="1:11" s="5" customFormat="1" ht="23.1" customHeight="1">
      <c r="A22" s="16">
        <v>14</v>
      </c>
      <c r="B22" s="10" t="s">
        <v>79</v>
      </c>
      <c r="C22" s="11">
        <v>6358523</v>
      </c>
      <c r="D22" s="12">
        <v>14</v>
      </c>
      <c r="E22" s="12">
        <v>13</v>
      </c>
      <c r="F22" s="12">
        <v>15</v>
      </c>
      <c r="G22" s="13">
        <f t="shared" si="2"/>
        <v>37.333333333333336</v>
      </c>
      <c r="H22" s="13">
        <v>17</v>
      </c>
      <c r="I22" s="13">
        <v>14</v>
      </c>
      <c r="J22" s="13">
        <f t="shared" si="3"/>
        <v>31</v>
      </c>
      <c r="K22" s="13">
        <f t="shared" si="4"/>
        <v>68.333333333333343</v>
      </c>
    </row>
    <row r="23" spans="1:11" s="5" customFormat="1" ht="23.1" customHeight="1">
      <c r="A23" s="16">
        <v>15</v>
      </c>
      <c r="B23" s="10" t="s">
        <v>91</v>
      </c>
      <c r="C23" s="11">
        <v>6531224</v>
      </c>
      <c r="D23" s="12">
        <v>11</v>
      </c>
      <c r="E23" s="12">
        <v>11</v>
      </c>
      <c r="F23" s="12">
        <v>9</v>
      </c>
      <c r="G23" s="13">
        <f t="shared" si="2"/>
        <v>27.555555555555557</v>
      </c>
      <c r="H23" s="13">
        <v>17</v>
      </c>
      <c r="I23" s="13">
        <v>20</v>
      </c>
      <c r="J23" s="13">
        <f t="shared" si="3"/>
        <v>37</v>
      </c>
      <c r="K23" s="13">
        <f t="shared" si="4"/>
        <v>64.555555555555557</v>
      </c>
    </row>
    <row r="24" spans="1:11" s="5" customFormat="1" ht="23.1" customHeight="1">
      <c r="A24" s="16">
        <v>16</v>
      </c>
      <c r="B24" s="10" t="s">
        <v>82</v>
      </c>
      <c r="C24" s="11">
        <v>5781559</v>
      </c>
      <c r="D24" s="12">
        <v>10</v>
      </c>
      <c r="E24" s="12">
        <v>15</v>
      </c>
      <c r="F24" s="12">
        <v>15</v>
      </c>
      <c r="G24" s="13">
        <f t="shared" si="2"/>
        <v>35.555555555555557</v>
      </c>
      <c r="H24" s="13">
        <v>10</v>
      </c>
      <c r="I24" s="13">
        <v>22</v>
      </c>
      <c r="J24" s="13">
        <f t="shared" si="3"/>
        <v>32</v>
      </c>
      <c r="K24" s="13">
        <f t="shared" si="4"/>
        <v>67.555555555555557</v>
      </c>
    </row>
    <row r="25" spans="1:11" s="5" customFormat="1" ht="23.1" customHeight="1">
      <c r="A25" s="16">
        <v>17</v>
      </c>
      <c r="B25" s="10" t="s">
        <v>101</v>
      </c>
      <c r="C25" s="11">
        <v>6109687</v>
      </c>
      <c r="D25" s="12">
        <v>12</v>
      </c>
      <c r="E25" s="12">
        <v>12</v>
      </c>
      <c r="F25" s="12">
        <v>11</v>
      </c>
      <c r="G25" s="13">
        <f t="shared" si="2"/>
        <v>31.111111111111111</v>
      </c>
      <c r="H25" s="13">
        <v>10</v>
      </c>
      <c r="I25" s="13">
        <v>21</v>
      </c>
      <c r="J25" s="13">
        <f t="shared" si="3"/>
        <v>31</v>
      </c>
      <c r="K25" s="13">
        <f t="shared" si="4"/>
        <v>62.111111111111114</v>
      </c>
    </row>
    <row r="26" spans="1:11" s="5" customFormat="1" ht="23.1" customHeight="1">
      <c r="A26" s="16">
        <v>18</v>
      </c>
      <c r="B26" s="10" t="s">
        <v>86</v>
      </c>
      <c r="C26" s="11">
        <v>6014534</v>
      </c>
      <c r="D26" s="12">
        <v>13</v>
      </c>
      <c r="E26" s="12">
        <v>10</v>
      </c>
      <c r="F26" s="12">
        <v>13</v>
      </c>
      <c r="G26" s="13">
        <f t="shared" si="2"/>
        <v>32</v>
      </c>
      <c r="H26" s="13">
        <v>14</v>
      </c>
      <c r="I26" s="13">
        <v>20</v>
      </c>
      <c r="J26" s="13">
        <f t="shared" si="3"/>
        <v>34</v>
      </c>
      <c r="K26" s="13">
        <f t="shared" si="4"/>
        <v>66</v>
      </c>
    </row>
    <row r="27" spans="1:11" s="5" customFormat="1" ht="23.1" customHeight="1">
      <c r="A27" s="16">
        <v>19</v>
      </c>
      <c r="B27" s="10" t="s">
        <v>102</v>
      </c>
      <c r="C27" s="11">
        <v>5646784</v>
      </c>
      <c r="D27" s="12">
        <v>8</v>
      </c>
      <c r="E27" s="12">
        <v>15</v>
      </c>
      <c r="F27" s="12">
        <v>14</v>
      </c>
      <c r="G27" s="13">
        <f t="shared" si="2"/>
        <v>32.888888888888893</v>
      </c>
      <c r="H27" s="13">
        <v>12</v>
      </c>
      <c r="I27" s="13">
        <v>17</v>
      </c>
      <c r="J27" s="13">
        <f t="shared" si="3"/>
        <v>29</v>
      </c>
      <c r="K27" s="13">
        <f t="shared" si="4"/>
        <v>61.888888888888893</v>
      </c>
    </row>
    <row r="28" spans="1:11" s="5" customFormat="1" ht="23.1" customHeight="1">
      <c r="A28" s="16">
        <v>20</v>
      </c>
      <c r="B28" s="10" t="s">
        <v>92</v>
      </c>
      <c r="C28" s="11">
        <v>5978095</v>
      </c>
      <c r="D28" s="12">
        <v>13</v>
      </c>
      <c r="E28" s="12">
        <v>13</v>
      </c>
      <c r="F28" s="12">
        <v>15</v>
      </c>
      <c r="G28" s="13">
        <f t="shared" si="2"/>
        <v>36.44444444444445</v>
      </c>
      <c r="H28" s="13">
        <v>11</v>
      </c>
      <c r="I28" s="13">
        <v>17</v>
      </c>
      <c r="J28" s="13">
        <f t="shared" si="3"/>
        <v>28</v>
      </c>
      <c r="K28" s="13">
        <f t="shared" si="4"/>
        <v>64.444444444444457</v>
      </c>
    </row>
    <row r="29" spans="1:11" s="5" customFormat="1" ht="23.1" customHeight="1">
      <c r="A29" s="16">
        <v>21</v>
      </c>
      <c r="B29" s="10" t="s">
        <v>85</v>
      </c>
      <c r="C29" s="11">
        <v>5688448</v>
      </c>
      <c r="D29" s="12">
        <v>12</v>
      </c>
      <c r="E29" s="12">
        <v>14</v>
      </c>
      <c r="F29" s="12">
        <v>14</v>
      </c>
      <c r="G29" s="13">
        <f t="shared" si="2"/>
        <v>35.555555555555557</v>
      </c>
      <c r="H29" s="13">
        <v>11</v>
      </c>
      <c r="I29" s="13">
        <v>20</v>
      </c>
      <c r="J29" s="13">
        <f t="shared" si="3"/>
        <v>31</v>
      </c>
      <c r="K29" s="13">
        <f t="shared" si="4"/>
        <v>66.555555555555557</v>
      </c>
    </row>
    <row r="30" spans="1:11" s="5" customFormat="1" ht="23.1" customHeight="1">
      <c r="A30" s="16">
        <v>22</v>
      </c>
      <c r="B30" s="10" t="s">
        <v>98</v>
      </c>
      <c r="C30" s="11">
        <v>6788556</v>
      </c>
      <c r="D30" s="12">
        <v>14</v>
      </c>
      <c r="E30" s="12">
        <v>15</v>
      </c>
      <c r="F30" s="12">
        <v>15</v>
      </c>
      <c r="G30" s="13">
        <f t="shared" si="2"/>
        <v>39.111111111111114</v>
      </c>
      <c r="H30" s="13">
        <v>14</v>
      </c>
      <c r="I30" s="13">
        <v>10</v>
      </c>
      <c r="J30" s="13">
        <f t="shared" si="3"/>
        <v>24</v>
      </c>
      <c r="K30" s="13">
        <f t="shared" si="4"/>
        <v>63.111111111111114</v>
      </c>
    </row>
    <row r="31" spans="1:11" s="5" customFormat="1" ht="23.1" customHeight="1">
      <c r="A31" s="16">
        <v>23</v>
      </c>
      <c r="B31" s="10" t="s">
        <v>76</v>
      </c>
      <c r="C31" s="11">
        <v>6141883</v>
      </c>
      <c r="D31" s="12">
        <v>15</v>
      </c>
      <c r="E31" s="12">
        <v>14</v>
      </c>
      <c r="F31" s="12">
        <v>15</v>
      </c>
      <c r="G31" s="13">
        <f t="shared" si="2"/>
        <v>39.111111111111114</v>
      </c>
      <c r="H31" s="13">
        <v>12</v>
      </c>
      <c r="I31" s="13">
        <v>19</v>
      </c>
      <c r="J31" s="13">
        <f t="shared" si="3"/>
        <v>31</v>
      </c>
      <c r="K31" s="13">
        <f t="shared" si="4"/>
        <v>70.111111111111114</v>
      </c>
    </row>
    <row r="32" spans="1:11" s="5" customFormat="1" ht="23.1" customHeight="1">
      <c r="A32" s="16">
        <v>24</v>
      </c>
      <c r="B32" s="10" t="s">
        <v>77</v>
      </c>
      <c r="C32" s="11">
        <v>6164743</v>
      </c>
      <c r="D32" s="12">
        <v>15</v>
      </c>
      <c r="E32" s="12">
        <v>15</v>
      </c>
      <c r="F32" s="12">
        <v>15</v>
      </c>
      <c r="G32" s="13">
        <f t="shared" si="2"/>
        <v>40</v>
      </c>
      <c r="H32" s="13">
        <v>13</v>
      </c>
      <c r="I32" s="13">
        <v>17</v>
      </c>
      <c r="J32" s="13">
        <f t="shared" si="3"/>
        <v>30</v>
      </c>
      <c r="K32" s="13">
        <f t="shared" si="4"/>
        <v>70</v>
      </c>
    </row>
    <row r="33" spans="1:11" s="5" customFormat="1" ht="23.1" customHeight="1">
      <c r="A33" s="16">
        <v>25</v>
      </c>
      <c r="B33" s="10" t="s">
        <v>99</v>
      </c>
      <c r="C33" s="11">
        <v>6046347</v>
      </c>
      <c r="D33" s="12">
        <v>12</v>
      </c>
      <c r="E33" s="12">
        <v>15</v>
      </c>
      <c r="F33" s="12">
        <v>12</v>
      </c>
      <c r="G33" s="13">
        <f t="shared" si="2"/>
        <v>34.666666666666671</v>
      </c>
      <c r="H33" s="13">
        <v>11</v>
      </c>
      <c r="I33" s="13">
        <v>17</v>
      </c>
      <c r="J33" s="13">
        <f t="shared" si="3"/>
        <v>28</v>
      </c>
      <c r="K33" s="13">
        <f t="shared" si="4"/>
        <v>62.666666666666671</v>
      </c>
    </row>
    <row r="34" spans="1:11" s="5" customFormat="1" ht="23.1" customHeight="1">
      <c r="A34" s="16">
        <v>26</v>
      </c>
      <c r="B34" s="10" t="s">
        <v>97</v>
      </c>
      <c r="C34" s="11">
        <v>5889634</v>
      </c>
      <c r="D34" s="12">
        <v>11</v>
      </c>
      <c r="E34" s="12">
        <v>13</v>
      </c>
      <c r="F34" s="12">
        <v>10</v>
      </c>
      <c r="G34" s="13">
        <f t="shared" si="2"/>
        <v>30.222222222222225</v>
      </c>
      <c r="H34" s="13">
        <v>12</v>
      </c>
      <c r="I34" s="13">
        <v>21</v>
      </c>
      <c r="J34" s="13">
        <f t="shared" si="3"/>
        <v>33</v>
      </c>
      <c r="K34" s="13">
        <f t="shared" si="4"/>
        <v>63.222222222222229</v>
      </c>
    </row>
    <row r="35" spans="1:11" s="5" customFormat="1" ht="23.1" customHeight="1">
      <c r="A35" s="16">
        <v>27</v>
      </c>
      <c r="B35" s="10" t="s">
        <v>96</v>
      </c>
      <c r="C35" s="11">
        <v>5929163</v>
      </c>
      <c r="D35" s="12">
        <v>12</v>
      </c>
      <c r="E35" s="12">
        <v>14</v>
      </c>
      <c r="F35" s="12">
        <v>14</v>
      </c>
      <c r="G35" s="13">
        <f t="shared" si="2"/>
        <v>35.555555555555557</v>
      </c>
      <c r="H35" s="13">
        <v>12</v>
      </c>
      <c r="I35" s="13">
        <v>16</v>
      </c>
      <c r="J35" s="13">
        <f t="shared" si="3"/>
        <v>28</v>
      </c>
      <c r="K35" s="13">
        <f t="shared" si="4"/>
        <v>63.555555555555557</v>
      </c>
    </row>
    <row r="36" spans="1:11" s="5" customFormat="1" ht="23.1" customHeight="1">
      <c r="A36" s="16">
        <v>28</v>
      </c>
      <c r="B36" s="10" t="s">
        <v>94</v>
      </c>
      <c r="C36" s="11">
        <v>6318079</v>
      </c>
      <c r="D36" s="12">
        <v>15</v>
      </c>
      <c r="E36" s="12">
        <v>15</v>
      </c>
      <c r="F36" s="12">
        <v>15</v>
      </c>
      <c r="G36" s="13">
        <f t="shared" si="2"/>
        <v>40</v>
      </c>
      <c r="H36" s="13">
        <v>10</v>
      </c>
      <c r="I36" s="13">
        <v>14</v>
      </c>
      <c r="J36" s="13">
        <f t="shared" si="3"/>
        <v>24</v>
      </c>
      <c r="K36" s="13">
        <f t="shared" si="4"/>
        <v>64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QCA (1)</vt:lpstr>
      <vt:lpstr>QCA (2)</vt:lpstr>
      <vt:lpstr>QCA(3)</vt:lpstr>
      <vt:lpstr>'QCA (1)'!Títulos_a_imprimir</vt:lpstr>
      <vt:lpstr>'QCA (2)'!Títulos_a_imprimir</vt:lpstr>
      <vt:lpstr>'QCA(3)'!Títulos_a_imprimir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2022-02-21T22:48:07Z</dcterms:modified>
</cp:coreProperties>
</file>