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esktop\LISTAS PRELIMINARES 2022\"/>
    </mc:Choice>
  </mc:AlternateContent>
  <bookViews>
    <workbookView xWindow="240" yWindow="75" windowWidth="15600" windowHeight="7935" tabRatio="924"/>
  </bookViews>
  <sheets>
    <sheet name="ECA" sheetId="38" r:id="rId1"/>
  </sheets>
  <definedNames>
    <definedName name="_xlnm.Print_Area" localSheetId="0">ECA!$A$1:$J$97</definedName>
    <definedName name="_xlnm.Print_Titles" localSheetId="0">ECA!$1:$8</definedName>
  </definedNames>
  <calcPr calcId="152511"/>
  <fileRecoveryPr autoRecover="0"/>
</workbook>
</file>

<file path=xl/calcChain.xml><?xml version="1.0" encoding="utf-8"?>
<calcChain xmlns="http://schemas.openxmlformats.org/spreadsheetml/2006/main">
  <c r="I57" i="38" l="1"/>
  <c r="F57" i="38"/>
  <c r="I87" i="38"/>
  <c r="F87" i="38"/>
  <c r="J87" i="38" s="1"/>
  <c r="I15" i="38"/>
  <c r="F15" i="38"/>
  <c r="J15" i="38" s="1"/>
  <c r="I27" i="38"/>
  <c r="F27" i="38"/>
  <c r="J27" i="38" s="1"/>
  <c r="I74" i="38"/>
  <c r="F74" i="38"/>
  <c r="J74" i="38" s="1"/>
  <c r="I94" i="38"/>
  <c r="F94" i="38"/>
  <c r="J94" i="38" s="1"/>
  <c r="I95" i="38"/>
  <c r="F95" i="38"/>
  <c r="J95" i="38" s="1"/>
  <c r="I53" i="38"/>
  <c r="F53" i="38"/>
  <c r="J53" i="38" s="1"/>
  <c r="I13" i="38"/>
  <c r="F13" i="38"/>
  <c r="J13" i="38" s="1"/>
  <c r="I52" i="38"/>
  <c r="F52" i="38"/>
  <c r="J52" i="38" s="1"/>
  <c r="I30" i="38"/>
  <c r="F30" i="38"/>
  <c r="J30" i="38" s="1"/>
  <c r="I14" i="38"/>
  <c r="F14" i="38"/>
  <c r="J14" i="38" s="1"/>
  <c r="I43" i="38"/>
  <c r="F43" i="38"/>
  <c r="J43" i="38" s="1"/>
  <c r="I40" i="38"/>
  <c r="F40" i="38"/>
  <c r="J40" i="38" s="1"/>
  <c r="I80" i="38"/>
  <c r="F80" i="38"/>
  <c r="J80" i="38" s="1"/>
  <c r="I49" i="38"/>
  <c r="F49" i="38"/>
  <c r="J49" i="38" s="1"/>
  <c r="I96" i="38"/>
  <c r="F96" i="38"/>
  <c r="J96" i="38" s="1"/>
  <c r="I93" i="38"/>
  <c r="F93" i="38"/>
  <c r="J93" i="38" s="1"/>
  <c r="I25" i="38"/>
  <c r="F25" i="38"/>
  <c r="J25" i="38" s="1"/>
  <c r="I70" i="38"/>
  <c r="F70" i="38"/>
  <c r="J70" i="38" s="1"/>
  <c r="I29" i="38"/>
  <c r="F29" i="38"/>
  <c r="J29" i="38" s="1"/>
  <c r="I59" i="38"/>
  <c r="F59" i="38"/>
  <c r="J59" i="38" s="1"/>
  <c r="I38" i="38"/>
  <c r="F38" i="38"/>
  <c r="J38" i="38" s="1"/>
  <c r="I50" i="38"/>
  <c r="F50" i="38"/>
  <c r="J50" i="38" s="1"/>
  <c r="I84" i="38"/>
  <c r="F84" i="38"/>
  <c r="J84" i="38" s="1"/>
  <c r="I63" i="38"/>
  <c r="F63" i="38"/>
  <c r="J63" i="38" s="1"/>
  <c r="I45" i="38"/>
  <c r="F45" i="38"/>
  <c r="J45" i="38" s="1"/>
  <c r="I61" i="38"/>
  <c r="F61" i="38"/>
  <c r="J61" i="38" s="1"/>
  <c r="I72" i="38"/>
  <c r="F72" i="38"/>
  <c r="J72" i="38" s="1"/>
  <c r="I34" i="38"/>
  <c r="F34" i="38"/>
  <c r="J34" i="38" s="1"/>
  <c r="I18" i="38"/>
  <c r="F18" i="38"/>
  <c r="J18" i="38" s="1"/>
  <c r="I71" i="38"/>
  <c r="F71" i="38"/>
  <c r="J71" i="38" s="1"/>
  <c r="I24" i="38"/>
  <c r="F24" i="38"/>
  <c r="J24" i="38" s="1"/>
  <c r="I54" i="38"/>
  <c r="F54" i="38"/>
  <c r="J54" i="38" s="1"/>
  <c r="I28" i="38"/>
  <c r="F28" i="38"/>
  <c r="J28" i="38" s="1"/>
  <c r="I48" i="38"/>
  <c r="F48" i="38"/>
  <c r="J48" i="38" s="1"/>
  <c r="I51" i="38"/>
  <c r="F51" i="38"/>
  <c r="J51" i="38" s="1"/>
  <c r="I92" i="38"/>
  <c r="F92" i="38"/>
  <c r="J92" i="38" s="1"/>
  <c r="I44" i="38"/>
  <c r="F44" i="38"/>
  <c r="J44" i="38" s="1"/>
  <c r="I91" i="38"/>
  <c r="F91" i="38"/>
  <c r="J91" i="38" s="1"/>
  <c r="I36" i="38"/>
  <c r="F36" i="38"/>
  <c r="J36" i="38" s="1"/>
  <c r="I26" i="38"/>
  <c r="F26" i="38"/>
  <c r="J26" i="38" s="1"/>
  <c r="I89" i="38"/>
  <c r="F89" i="38"/>
  <c r="J89" i="38" s="1"/>
  <c r="I32" i="38"/>
  <c r="F32" i="38"/>
  <c r="J32" i="38" s="1"/>
  <c r="I85" i="38"/>
  <c r="F85" i="38"/>
  <c r="J85" i="38" s="1"/>
  <c r="I66" i="38"/>
  <c r="F66" i="38"/>
  <c r="J66" i="38" s="1"/>
  <c r="I31" i="38"/>
  <c r="F31" i="38"/>
  <c r="J31" i="38" s="1"/>
  <c r="I67" i="38"/>
  <c r="F67" i="38"/>
  <c r="J67" i="38" s="1"/>
  <c r="I69" i="38"/>
  <c r="F69" i="38"/>
  <c r="J69" i="38" s="1"/>
  <c r="I79" i="38"/>
  <c r="F79" i="38"/>
  <c r="J79" i="38" s="1"/>
  <c r="I23" i="38"/>
  <c r="F23" i="38"/>
  <c r="J23" i="38" s="1"/>
  <c r="I62" i="38"/>
  <c r="F62" i="38"/>
  <c r="J62" i="38" s="1"/>
  <c r="I20" i="38"/>
  <c r="F20" i="38"/>
  <c r="J20" i="38" s="1"/>
  <c r="I88" i="38"/>
  <c r="F88" i="38"/>
  <c r="J88" i="38" s="1"/>
  <c r="I65" i="38"/>
  <c r="F65" i="38"/>
  <c r="J65" i="38" s="1"/>
  <c r="I12" i="38"/>
  <c r="F12" i="38"/>
  <c r="J12" i="38" s="1"/>
  <c r="I16" i="38"/>
  <c r="F16" i="38"/>
  <c r="J16" i="38" s="1"/>
  <c r="I47" i="38"/>
  <c r="F47" i="38"/>
  <c r="J47" i="38" s="1"/>
  <c r="I58" i="38"/>
  <c r="F58" i="38"/>
  <c r="J58" i="38" s="1"/>
  <c r="I37" i="38"/>
  <c r="F37" i="38"/>
  <c r="J37" i="38" s="1"/>
  <c r="I46" i="38"/>
  <c r="F46" i="38"/>
  <c r="J46" i="38" s="1"/>
  <c r="I73" i="38"/>
  <c r="F73" i="38"/>
  <c r="J73" i="38" s="1"/>
  <c r="I55" i="38"/>
  <c r="F55" i="38"/>
  <c r="J55" i="38" s="1"/>
  <c r="I78" i="38"/>
  <c r="F78" i="38"/>
  <c r="J78" i="38" s="1"/>
  <c r="I68" i="38"/>
  <c r="F68" i="38"/>
  <c r="J68" i="38" s="1"/>
  <c r="I83" i="38"/>
  <c r="F83" i="38"/>
  <c r="J83" i="38" s="1"/>
  <c r="I90" i="38"/>
  <c r="F90" i="38"/>
  <c r="J90" i="38" s="1"/>
  <c r="I82" i="38"/>
  <c r="F82" i="38"/>
  <c r="J82" i="38" s="1"/>
  <c r="I75" i="38"/>
  <c r="F75" i="38"/>
  <c r="J75" i="38" s="1"/>
  <c r="I64" i="38"/>
  <c r="F64" i="38"/>
  <c r="J64" i="38" s="1"/>
  <c r="I42" i="38"/>
  <c r="F42" i="38"/>
  <c r="J42" i="38" s="1"/>
  <c r="I86" i="38"/>
  <c r="F86" i="38"/>
  <c r="J86" i="38" s="1"/>
  <c r="I41" i="38"/>
  <c r="F41" i="38"/>
  <c r="J41" i="38" s="1"/>
  <c r="I17" i="38"/>
  <c r="F17" i="38"/>
  <c r="J17" i="38" s="1"/>
  <c r="I60" i="38"/>
  <c r="F60" i="38"/>
  <c r="J60" i="38" s="1"/>
  <c r="I19" i="38"/>
  <c r="F19" i="38"/>
  <c r="J19" i="38" s="1"/>
  <c r="I21" i="38"/>
  <c r="F21" i="38"/>
  <c r="J21" i="38" s="1"/>
  <c r="I35" i="38"/>
  <c r="F35" i="38"/>
  <c r="J35" i="38" s="1"/>
  <c r="I81" i="38"/>
  <c r="F81" i="38"/>
  <c r="J81" i="38" s="1"/>
  <c r="I10" i="38"/>
  <c r="F10" i="38"/>
  <c r="J10" i="38" s="1"/>
  <c r="I22" i="38"/>
  <c r="F22" i="38"/>
  <c r="J22" i="38" s="1"/>
  <c r="I9" i="38"/>
  <c r="F9" i="38"/>
  <c r="J9" i="38" s="1"/>
  <c r="I77" i="38"/>
  <c r="F77" i="38"/>
  <c r="J77" i="38" s="1"/>
  <c r="I39" i="38"/>
  <c r="F39" i="38"/>
  <c r="J39" i="38" s="1"/>
  <c r="I76" i="38"/>
  <c r="F76" i="38"/>
  <c r="J76" i="38" s="1"/>
  <c r="I56" i="38"/>
  <c r="F56" i="38"/>
  <c r="J56" i="38" s="1"/>
  <c r="I11" i="38"/>
  <c r="F11" i="38"/>
  <c r="J11" i="38" s="1"/>
  <c r="I33" i="38"/>
  <c r="F33" i="38"/>
  <c r="J33" i="38" s="1"/>
  <c r="J57" i="38" l="1"/>
  <c r="I8" i="38" l="1"/>
  <c r="F8" i="38"/>
  <c r="J8" i="38" l="1"/>
</calcChain>
</file>

<file path=xl/sharedStrings.xml><?xml version="1.0" encoding="utf-8"?>
<sst xmlns="http://schemas.openxmlformats.org/spreadsheetml/2006/main" count="19" uniqueCount="18">
  <si>
    <t xml:space="preserve">DIRECCION GENERAL DE EDUCACIÓN MEDIA </t>
  </si>
  <si>
    <t>DIRECCION DE BACHILLERATO TÉCNICO Y FORMACIÓN PROFESIONAL</t>
  </si>
  <si>
    <t>Nº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</si>
  <si>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</si>
  <si>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</si>
  <si>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</si>
  <si>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</si>
  <si>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</si>
  <si>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</si>
  <si>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</si>
  <si>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</si>
  <si>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</si>
  <si>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</si>
  <si>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</si>
  <si>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ELECTRONICA</t>
  </si>
  <si>
    <t>MINISTERIO DE EDUCACION Y CIENCIAS</t>
  </si>
  <si>
    <t>LISTA PRELIMINAR - COLEGIO TECNICO NACIONAL DE LA CAPITAL / 2022</t>
  </si>
  <si>
    <t>OBS.PISO PRELIMINAR 51,89% SALVO MODIFICACCIONES  DESPUES DEL PROCESO DE 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</si>
</sst>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1"/>
      <name val="Arial  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 vertical="center"/>
    </xf>
    <xf numFmtId="3" fontId="9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ill="1"/>
    <xf numFmtId="0" fontId="10" fillId="0" borderId="1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3" xfId="1" applyNumberFormat="1" applyFont="1" applyFill="1" applyBorder="1" applyAlignment="1" applyProtection="1">
      <alignment horizontal="center"/>
    </xf>
    <xf numFmtId="164" fontId="3" fillId="0" borderId="6" xfId="1" applyNumberFormat="1" applyFont="1" applyFill="1" applyBorder="1" applyAlignment="1" applyProtection="1">
      <alignment horizontal="center"/>
    </xf>
    <xf numFmtId="164" fontId="3" fillId="0" borderId="2" xfId="1" applyNumberFormat="1" applyFont="1" applyFill="1" applyBorder="1" applyAlignment="1" applyProtection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64" fontId="4" fillId="2" borderId="4" xfId="1" applyNumberFormat="1" applyFont="1" applyFill="1" applyBorder="1" applyAlignment="1" applyProtection="1">
      <alignment horizontal="center" vertical="center"/>
    </xf>
    <xf numFmtId="164" fontId="4" fillId="2" borderId="5" xfId="1" applyNumberFormat="1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tabSelected="1" view="pageBreakPreview" topLeftCell="A58" zoomScale="110" zoomScaleSheetLayoutView="110" workbookViewId="0">
      <selection activeCell="M66" sqref="M66"/>
    </sheetView>
  </sheetViews>
  <sheetFormatPr baseColWidth="10" defaultRowHeight="15"/>
  <cols>
    <col min="1" max="1" width="3.5703125" bestFit="1" customWidth="1"/>
    <col min="2" max="2" width="10.7109375" customWidth="1"/>
    <col min="3" max="9" width="6.7109375" customWidth="1"/>
    <col min="10" max="10" width="9" customWidth="1"/>
  </cols>
  <sheetData>
    <row r="1" spans="1:10">
      <c r="A1" s="23" t="s">
        <v>15</v>
      </c>
      <c r="B1" s="23"/>
      <c r="C1" s="23"/>
      <c r="D1" s="23"/>
      <c r="E1" s="23"/>
      <c r="F1" s="23"/>
      <c r="G1" s="23"/>
      <c r="H1" s="23"/>
      <c r="I1" s="23"/>
      <c r="J1" s="23"/>
    </row>
    <row r="2" spans="1:10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</row>
    <row r="3" spans="1:10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</row>
    <row r="4" spans="1:10">
      <c r="A4" s="23" t="s">
        <v>16</v>
      </c>
      <c r="B4" s="23"/>
      <c r="C4" s="23"/>
      <c r="D4" s="23"/>
      <c r="E4" s="23"/>
      <c r="F4" s="23"/>
      <c r="G4" s="23"/>
      <c r="H4" s="23"/>
      <c r="I4" s="23"/>
      <c r="J4" s="23"/>
    </row>
    <row r="5" spans="1:10" ht="15.75">
      <c r="A5" s="25" t="s">
        <v>14</v>
      </c>
      <c r="B5" s="26"/>
      <c r="C5" s="26"/>
      <c r="D5" s="26"/>
      <c r="E5" s="26"/>
      <c r="F5" s="26"/>
      <c r="G5" s="26"/>
      <c r="H5" s="26"/>
      <c r="I5" s="26"/>
      <c r="J5" s="27"/>
    </row>
    <row r="6" spans="1:10" ht="35.1" customHeight="1">
      <c r="A6" s="28" t="s">
        <v>2</v>
      </c>
      <c r="B6" s="30" t="s">
        <v>3</v>
      </c>
      <c r="C6" s="32" t="s">
        <v>4</v>
      </c>
      <c r="D6" s="33"/>
      <c r="E6" s="34"/>
      <c r="F6" s="19" t="s">
        <v>5</v>
      </c>
      <c r="G6" s="1" t="s">
        <v>6</v>
      </c>
      <c r="H6" s="1" t="s">
        <v>6</v>
      </c>
      <c r="I6" s="19" t="s">
        <v>7</v>
      </c>
      <c r="J6" s="19" t="s">
        <v>8</v>
      </c>
    </row>
    <row r="7" spans="1:10" ht="30" customHeight="1">
      <c r="A7" s="29"/>
      <c r="B7" s="31"/>
      <c r="C7" s="12" t="s">
        <v>9</v>
      </c>
      <c r="D7" s="12" t="s">
        <v>10</v>
      </c>
      <c r="E7" s="12" t="s">
        <v>11</v>
      </c>
      <c r="F7" s="20"/>
      <c r="G7" s="13" t="s">
        <v>12</v>
      </c>
      <c r="H7" s="13" t="s">
        <v>13</v>
      </c>
      <c r="I7" s="20"/>
      <c r="J7" s="20"/>
    </row>
    <row r="8" spans="1:10">
      <c r="A8" s="21"/>
      <c r="B8" s="22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4" customFormat="1">
      <c r="A9" s="5">
        <v>1</v>
      </c>
      <c r="B9" s="6">
        <v>5596608</v>
      </c>
      <c r="C9" s="7">
        <v>15</v>
      </c>
      <c r="D9" s="7">
        <v>15</v>
      </c>
      <c r="E9" s="7">
        <v>15</v>
      </c>
      <c r="F9" s="8">
        <f t="shared" ref="F9:F40" si="2">SUM(C9:E9)*100/45*0.4</f>
        <v>40</v>
      </c>
      <c r="G9" s="8">
        <v>19</v>
      </c>
      <c r="H9" s="8">
        <v>23</v>
      </c>
      <c r="I9" s="9">
        <f t="shared" ref="I9:I40" si="3">SUM(G9:H9)</f>
        <v>42</v>
      </c>
      <c r="J9" s="9">
        <f t="shared" ref="J9:J40" si="4">F9+I9</f>
        <v>82</v>
      </c>
    </row>
    <row r="10" spans="1:10" s="14" customFormat="1">
      <c r="A10" s="5">
        <v>2</v>
      </c>
      <c r="B10" s="6">
        <v>5615969</v>
      </c>
      <c r="C10" s="7">
        <v>14</v>
      </c>
      <c r="D10" s="7">
        <v>14</v>
      </c>
      <c r="E10" s="7">
        <v>14</v>
      </c>
      <c r="F10" s="8">
        <f t="shared" si="2"/>
        <v>37.333333333333336</v>
      </c>
      <c r="G10" s="8">
        <v>21</v>
      </c>
      <c r="H10" s="8">
        <v>23</v>
      </c>
      <c r="I10" s="9">
        <f t="shared" si="3"/>
        <v>44</v>
      </c>
      <c r="J10" s="9">
        <f t="shared" si="4"/>
        <v>81.333333333333343</v>
      </c>
    </row>
    <row r="11" spans="1:10" s="14" customFormat="1">
      <c r="A11" s="5">
        <v>3</v>
      </c>
      <c r="B11" s="6">
        <v>5617189</v>
      </c>
      <c r="C11" s="7">
        <v>15</v>
      </c>
      <c r="D11" s="7">
        <v>15</v>
      </c>
      <c r="E11" s="7">
        <v>15</v>
      </c>
      <c r="F11" s="8">
        <f t="shared" si="2"/>
        <v>40</v>
      </c>
      <c r="G11" s="8">
        <v>28</v>
      </c>
      <c r="H11" s="8">
        <v>24</v>
      </c>
      <c r="I11" s="9">
        <f t="shared" si="3"/>
        <v>52</v>
      </c>
      <c r="J11" s="9">
        <f t="shared" si="4"/>
        <v>92</v>
      </c>
    </row>
    <row r="12" spans="1:10" s="14" customFormat="1">
      <c r="A12" s="5">
        <v>4</v>
      </c>
      <c r="B12" s="6">
        <v>5623745</v>
      </c>
      <c r="C12" s="7">
        <v>13</v>
      </c>
      <c r="D12" s="7">
        <v>8</v>
      </c>
      <c r="E12" s="7">
        <v>12</v>
      </c>
      <c r="F12" s="8">
        <f t="shared" si="2"/>
        <v>29.333333333333332</v>
      </c>
      <c r="G12" s="8">
        <v>18</v>
      </c>
      <c r="H12" s="8">
        <v>23</v>
      </c>
      <c r="I12" s="9">
        <f t="shared" si="3"/>
        <v>41</v>
      </c>
      <c r="J12" s="9">
        <f t="shared" si="4"/>
        <v>70.333333333333329</v>
      </c>
    </row>
    <row r="13" spans="1:10" s="14" customFormat="1">
      <c r="A13" s="5">
        <v>5</v>
      </c>
      <c r="B13" s="6">
        <v>5628307</v>
      </c>
      <c r="C13" s="7">
        <v>11</v>
      </c>
      <c r="D13" s="7">
        <v>8</v>
      </c>
      <c r="E13" s="7">
        <v>13</v>
      </c>
      <c r="F13" s="8">
        <f t="shared" si="2"/>
        <v>28.444444444444446</v>
      </c>
      <c r="G13" s="8">
        <v>14</v>
      </c>
      <c r="H13" s="8">
        <v>13</v>
      </c>
      <c r="I13" s="9">
        <f t="shared" si="3"/>
        <v>27</v>
      </c>
      <c r="J13" s="9">
        <f t="shared" si="4"/>
        <v>55.444444444444443</v>
      </c>
    </row>
    <row r="14" spans="1:10" s="14" customFormat="1">
      <c r="A14" s="5">
        <v>6</v>
      </c>
      <c r="B14" s="6">
        <v>5661945</v>
      </c>
      <c r="C14" s="7">
        <v>9</v>
      </c>
      <c r="D14" s="7">
        <v>14</v>
      </c>
      <c r="E14" s="7">
        <v>11</v>
      </c>
      <c r="F14" s="8">
        <f t="shared" si="2"/>
        <v>30.222222222222225</v>
      </c>
      <c r="G14" s="8">
        <v>10</v>
      </c>
      <c r="H14" s="8">
        <v>16</v>
      </c>
      <c r="I14" s="9">
        <f t="shared" si="3"/>
        <v>26</v>
      </c>
      <c r="J14" s="9">
        <f t="shared" si="4"/>
        <v>56.222222222222229</v>
      </c>
    </row>
    <row r="15" spans="1:10" s="14" customFormat="1">
      <c r="A15" s="5">
        <v>7</v>
      </c>
      <c r="B15" s="10">
        <v>5678330</v>
      </c>
      <c r="C15" s="11">
        <v>8</v>
      </c>
      <c r="D15" s="11">
        <v>7</v>
      </c>
      <c r="E15" s="11">
        <v>8</v>
      </c>
      <c r="F15" s="8">
        <f t="shared" si="2"/>
        <v>20.444444444444446</v>
      </c>
      <c r="G15" s="8">
        <v>14</v>
      </c>
      <c r="H15" s="8">
        <v>15</v>
      </c>
      <c r="I15" s="9">
        <f t="shared" si="3"/>
        <v>29</v>
      </c>
      <c r="J15" s="9">
        <f t="shared" si="4"/>
        <v>49.444444444444443</v>
      </c>
    </row>
    <row r="16" spans="1:10" s="14" customFormat="1">
      <c r="A16" s="5">
        <v>8</v>
      </c>
      <c r="B16" s="6">
        <v>5679553</v>
      </c>
      <c r="C16" s="11">
        <v>14</v>
      </c>
      <c r="D16" s="11">
        <v>13</v>
      </c>
      <c r="E16" s="11">
        <v>15</v>
      </c>
      <c r="F16" s="8">
        <f t="shared" si="2"/>
        <v>37.333333333333336</v>
      </c>
      <c r="G16" s="8">
        <v>13</v>
      </c>
      <c r="H16" s="8">
        <v>20</v>
      </c>
      <c r="I16" s="8">
        <f t="shared" si="3"/>
        <v>33</v>
      </c>
      <c r="J16" s="8">
        <f t="shared" si="4"/>
        <v>70.333333333333343</v>
      </c>
    </row>
    <row r="17" spans="1:10" s="14" customFormat="1">
      <c r="A17" s="5">
        <v>9</v>
      </c>
      <c r="B17" s="6">
        <v>5687074</v>
      </c>
      <c r="C17" s="7">
        <v>12</v>
      </c>
      <c r="D17" s="7">
        <v>15</v>
      </c>
      <c r="E17" s="7">
        <v>15</v>
      </c>
      <c r="F17" s="8">
        <f t="shared" si="2"/>
        <v>37.333333333333336</v>
      </c>
      <c r="G17" s="8">
        <v>15</v>
      </c>
      <c r="H17" s="8">
        <v>24</v>
      </c>
      <c r="I17" s="9">
        <f t="shared" si="3"/>
        <v>39</v>
      </c>
      <c r="J17" s="9">
        <f t="shared" si="4"/>
        <v>76.333333333333343</v>
      </c>
    </row>
    <row r="18" spans="1:10" s="14" customFormat="1">
      <c r="A18" s="5">
        <v>10</v>
      </c>
      <c r="B18" s="6">
        <v>5705410</v>
      </c>
      <c r="C18" s="7">
        <v>13</v>
      </c>
      <c r="D18" s="7">
        <v>13</v>
      </c>
      <c r="E18" s="7">
        <v>13</v>
      </c>
      <c r="F18" s="8">
        <f t="shared" si="2"/>
        <v>34.666666666666671</v>
      </c>
      <c r="G18" s="8">
        <v>13</v>
      </c>
      <c r="H18" s="8">
        <v>16</v>
      </c>
      <c r="I18" s="9">
        <f t="shared" si="3"/>
        <v>29</v>
      </c>
      <c r="J18" s="9">
        <f t="shared" si="4"/>
        <v>63.666666666666671</v>
      </c>
    </row>
    <row r="19" spans="1:10" s="14" customFormat="1">
      <c r="A19" s="5">
        <v>11</v>
      </c>
      <c r="B19" s="6">
        <v>5707497</v>
      </c>
      <c r="C19" s="7">
        <v>15</v>
      </c>
      <c r="D19" s="7">
        <v>15</v>
      </c>
      <c r="E19" s="7">
        <v>15</v>
      </c>
      <c r="F19" s="8">
        <f t="shared" si="2"/>
        <v>40</v>
      </c>
      <c r="G19" s="8">
        <v>18</v>
      </c>
      <c r="H19" s="8">
        <v>19</v>
      </c>
      <c r="I19" s="9">
        <f t="shared" si="3"/>
        <v>37</v>
      </c>
      <c r="J19" s="9">
        <f t="shared" si="4"/>
        <v>77</v>
      </c>
    </row>
    <row r="20" spans="1:10" s="14" customFormat="1">
      <c r="A20" s="5">
        <v>12</v>
      </c>
      <c r="B20" s="6">
        <v>5729964</v>
      </c>
      <c r="C20" s="7">
        <v>12</v>
      </c>
      <c r="D20" s="7">
        <v>15</v>
      </c>
      <c r="E20" s="7">
        <v>15</v>
      </c>
      <c r="F20" s="8">
        <f t="shared" si="2"/>
        <v>37.333333333333336</v>
      </c>
      <c r="G20" s="8">
        <v>17</v>
      </c>
      <c r="H20" s="8">
        <v>15</v>
      </c>
      <c r="I20" s="9">
        <f t="shared" si="3"/>
        <v>32</v>
      </c>
      <c r="J20" s="9">
        <f t="shared" si="4"/>
        <v>69.333333333333343</v>
      </c>
    </row>
    <row r="21" spans="1:10" s="14" customFormat="1">
      <c r="A21" s="5">
        <v>13</v>
      </c>
      <c r="B21" s="6">
        <v>5742213</v>
      </c>
      <c r="C21" s="7">
        <v>14</v>
      </c>
      <c r="D21" s="7">
        <v>15</v>
      </c>
      <c r="E21" s="7">
        <v>15</v>
      </c>
      <c r="F21" s="8">
        <f t="shared" si="2"/>
        <v>39.111111111111114</v>
      </c>
      <c r="G21" s="8">
        <v>15</v>
      </c>
      <c r="H21" s="8">
        <v>23</v>
      </c>
      <c r="I21" s="9">
        <f t="shared" si="3"/>
        <v>38</v>
      </c>
      <c r="J21" s="9">
        <f t="shared" si="4"/>
        <v>77.111111111111114</v>
      </c>
    </row>
    <row r="22" spans="1:10" s="14" customFormat="1">
      <c r="A22" s="5">
        <v>14</v>
      </c>
      <c r="B22" s="6">
        <v>5743933</v>
      </c>
      <c r="C22" s="7">
        <v>14</v>
      </c>
      <c r="D22" s="7">
        <v>14</v>
      </c>
      <c r="E22" s="7">
        <v>13</v>
      </c>
      <c r="F22" s="8">
        <f t="shared" si="2"/>
        <v>36.44444444444445</v>
      </c>
      <c r="G22" s="8">
        <v>20</v>
      </c>
      <c r="H22" s="8">
        <v>25</v>
      </c>
      <c r="I22" s="9">
        <f t="shared" si="3"/>
        <v>45</v>
      </c>
      <c r="J22" s="9">
        <f t="shared" si="4"/>
        <v>81.444444444444457</v>
      </c>
    </row>
    <row r="23" spans="1:10" s="14" customFormat="1">
      <c r="A23" s="5">
        <v>15</v>
      </c>
      <c r="B23" s="6">
        <v>5745502</v>
      </c>
      <c r="C23" s="7">
        <v>12</v>
      </c>
      <c r="D23" s="7">
        <v>11</v>
      </c>
      <c r="E23" s="7">
        <v>15</v>
      </c>
      <c r="F23" s="8">
        <f t="shared" si="2"/>
        <v>33.777777777777779</v>
      </c>
      <c r="G23" s="8">
        <v>17</v>
      </c>
      <c r="H23" s="8">
        <v>18</v>
      </c>
      <c r="I23" s="9">
        <f t="shared" si="3"/>
        <v>35</v>
      </c>
      <c r="J23" s="9">
        <f t="shared" si="4"/>
        <v>68.777777777777771</v>
      </c>
    </row>
    <row r="24" spans="1:10" s="14" customFormat="1">
      <c r="A24" s="5">
        <v>16</v>
      </c>
      <c r="B24" s="6">
        <v>5753105</v>
      </c>
      <c r="C24" s="7">
        <v>11</v>
      </c>
      <c r="D24" s="7">
        <v>12</v>
      </c>
      <c r="E24" s="7">
        <v>15</v>
      </c>
      <c r="F24" s="8">
        <f t="shared" si="2"/>
        <v>33.777777777777779</v>
      </c>
      <c r="G24" s="8">
        <v>16</v>
      </c>
      <c r="H24" s="8">
        <v>14</v>
      </c>
      <c r="I24" s="9">
        <f t="shared" si="3"/>
        <v>30</v>
      </c>
      <c r="J24" s="9">
        <f t="shared" si="4"/>
        <v>63.777777777777779</v>
      </c>
    </row>
    <row r="25" spans="1:10" s="14" customFormat="1">
      <c r="A25" s="5">
        <v>17</v>
      </c>
      <c r="B25" s="6">
        <v>5758865</v>
      </c>
      <c r="C25" s="7">
        <v>12</v>
      </c>
      <c r="D25" s="7">
        <v>12</v>
      </c>
      <c r="E25" s="7">
        <v>14</v>
      </c>
      <c r="F25" s="8">
        <f t="shared" si="2"/>
        <v>33.777777777777779</v>
      </c>
      <c r="G25" s="8">
        <v>10</v>
      </c>
      <c r="H25" s="8">
        <v>17</v>
      </c>
      <c r="I25" s="9">
        <f t="shared" si="3"/>
        <v>27</v>
      </c>
      <c r="J25" s="9">
        <f t="shared" si="4"/>
        <v>60.777777777777779</v>
      </c>
    </row>
    <row r="26" spans="1:10" s="14" customFormat="1">
      <c r="A26" s="5">
        <v>18</v>
      </c>
      <c r="B26" s="6">
        <v>5767937</v>
      </c>
      <c r="C26" s="7">
        <v>15</v>
      </c>
      <c r="D26" s="7">
        <v>12</v>
      </c>
      <c r="E26" s="7">
        <v>15</v>
      </c>
      <c r="F26" s="8">
        <f t="shared" si="2"/>
        <v>37.333333333333336</v>
      </c>
      <c r="G26" s="8">
        <v>12</v>
      </c>
      <c r="H26" s="8">
        <v>17</v>
      </c>
      <c r="I26" s="9">
        <f t="shared" si="3"/>
        <v>29</v>
      </c>
      <c r="J26" s="9">
        <f t="shared" si="4"/>
        <v>66.333333333333343</v>
      </c>
    </row>
    <row r="27" spans="1:10" s="14" customFormat="1">
      <c r="A27" s="5">
        <v>19</v>
      </c>
      <c r="B27" s="6">
        <v>5792750</v>
      </c>
      <c r="C27" s="7">
        <v>12</v>
      </c>
      <c r="D27" s="7">
        <v>12</v>
      </c>
      <c r="E27" s="7">
        <v>10</v>
      </c>
      <c r="F27" s="8">
        <f t="shared" si="2"/>
        <v>30.222222222222225</v>
      </c>
      <c r="G27" s="8">
        <v>6</v>
      </c>
      <c r="H27" s="8">
        <v>14</v>
      </c>
      <c r="I27" s="9">
        <f t="shared" si="3"/>
        <v>20</v>
      </c>
      <c r="J27" s="9">
        <f t="shared" si="4"/>
        <v>50.222222222222229</v>
      </c>
    </row>
    <row r="28" spans="1:10" s="14" customFormat="1">
      <c r="A28" s="5">
        <v>20</v>
      </c>
      <c r="B28" s="6">
        <v>5793732</v>
      </c>
      <c r="C28" s="7">
        <v>12</v>
      </c>
      <c r="D28" s="7">
        <v>15</v>
      </c>
      <c r="E28" s="7">
        <v>13</v>
      </c>
      <c r="F28" s="8">
        <f t="shared" si="2"/>
        <v>35.555555555555557</v>
      </c>
      <c r="G28" s="8">
        <v>13</v>
      </c>
      <c r="H28" s="8">
        <v>16</v>
      </c>
      <c r="I28" s="9">
        <f t="shared" si="3"/>
        <v>29</v>
      </c>
      <c r="J28" s="9">
        <f t="shared" si="4"/>
        <v>64.555555555555557</v>
      </c>
    </row>
    <row r="29" spans="1:10" s="14" customFormat="1">
      <c r="A29" s="5">
        <v>21</v>
      </c>
      <c r="B29" s="6">
        <v>5805686</v>
      </c>
      <c r="C29" s="7">
        <v>12</v>
      </c>
      <c r="D29" s="7">
        <v>15</v>
      </c>
      <c r="E29" s="7">
        <v>14</v>
      </c>
      <c r="F29" s="8">
        <f t="shared" si="2"/>
        <v>36.44444444444445</v>
      </c>
      <c r="G29" s="8">
        <v>11</v>
      </c>
      <c r="H29" s="8">
        <v>15</v>
      </c>
      <c r="I29" s="9">
        <f t="shared" si="3"/>
        <v>26</v>
      </c>
      <c r="J29" s="9">
        <f t="shared" si="4"/>
        <v>62.44444444444445</v>
      </c>
    </row>
    <row r="30" spans="1:10" s="14" customFormat="1">
      <c r="A30" s="5">
        <v>22</v>
      </c>
      <c r="B30" s="6">
        <v>5808467</v>
      </c>
      <c r="C30" s="7">
        <v>15</v>
      </c>
      <c r="D30" s="7">
        <v>14</v>
      </c>
      <c r="E30" s="7">
        <v>14</v>
      </c>
      <c r="F30" s="8">
        <f t="shared" si="2"/>
        <v>38.222222222222221</v>
      </c>
      <c r="G30" s="8">
        <v>3</v>
      </c>
      <c r="H30" s="8">
        <v>15</v>
      </c>
      <c r="I30" s="9">
        <f t="shared" si="3"/>
        <v>18</v>
      </c>
      <c r="J30" s="9">
        <f t="shared" si="4"/>
        <v>56.222222222222221</v>
      </c>
    </row>
    <row r="31" spans="1:10" s="14" customFormat="1">
      <c r="A31" s="5">
        <v>23</v>
      </c>
      <c r="B31" s="6">
        <v>5811514</v>
      </c>
      <c r="C31" s="7">
        <v>13</v>
      </c>
      <c r="D31" s="7">
        <v>13</v>
      </c>
      <c r="E31" s="7">
        <v>14</v>
      </c>
      <c r="F31" s="8">
        <f t="shared" si="2"/>
        <v>35.555555555555557</v>
      </c>
      <c r="G31" s="8">
        <v>17</v>
      </c>
      <c r="H31" s="8">
        <v>15</v>
      </c>
      <c r="I31" s="9">
        <f t="shared" si="3"/>
        <v>32</v>
      </c>
      <c r="J31" s="9">
        <f t="shared" si="4"/>
        <v>67.555555555555557</v>
      </c>
    </row>
    <row r="32" spans="1:10" s="14" customFormat="1">
      <c r="A32" s="5">
        <v>24</v>
      </c>
      <c r="B32" s="6">
        <v>5814005</v>
      </c>
      <c r="C32" s="7">
        <v>12</v>
      </c>
      <c r="D32" s="7">
        <v>9</v>
      </c>
      <c r="E32" s="7">
        <v>9</v>
      </c>
      <c r="F32" s="8">
        <f t="shared" si="2"/>
        <v>26.666666666666671</v>
      </c>
      <c r="G32" s="8">
        <v>19</v>
      </c>
      <c r="H32" s="8">
        <v>21</v>
      </c>
      <c r="I32" s="9">
        <f t="shared" si="3"/>
        <v>40</v>
      </c>
      <c r="J32" s="9">
        <f t="shared" si="4"/>
        <v>66.666666666666671</v>
      </c>
    </row>
    <row r="33" spans="1:10" s="14" customFormat="1">
      <c r="A33" s="5">
        <v>25</v>
      </c>
      <c r="B33" s="6">
        <v>5839079</v>
      </c>
      <c r="C33" s="7">
        <v>14</v>
      </c>
      <c r="D33" s="7">
        <v>15</v>
      </c>
      <c r="E33" s="7">
        <v>14</v>
      </c>
      <c r="F33" s="8">
        <f t="shared" si="2"/>
        <v>38.222222222222221</v>
      </c>
      <c r="G33" s="8">
        <v>29</v>
      </c>
      <c r="H33" s="8">
        <v>27</v>
      </c>
      <c r="I33" s="9">
        <f t="shared" si="3"/>
        <v>56</v>
      </c>
      <c r="J33" s="9">
        <f t="shared" si="4"/>
        <v>94.222222222222229</v>
      </c>
    </row>
    <row r="34" spans="1:10" s="14" customFormat="1">
      <c r="A34" s="5">
        <v>26</v>
      </c>
      <c r="B34" s="6">
        <v>5842675</v>
      </c>
      <c r="C34" s="7">
        <v>12</v>
      </c>
      <c r="D34" s="7">
        <v>12</v>
      </c>
      <c r="E34" s="7">
        <v>15</v>
      </c>
      <c r="F34" s="8">
        <f t="shared" si="2"/>
        <v>34.666666666666671</v>
      </c>
      <c r="G34" s="8">
        <v>9</v>
      </c>
      <c r="H34" s="8">
        <v>20</v>
      </c>
      <c r="I34" s="9">
        <f t="shared" si="3"/>
        <v>29</v>
      </c>
      <c r="J34" s="9">
        <f t="shared" si="4"/>
        <v>63.666666666666671</v>
      </c>
    </row>
    <row r="35" spans="1:10" s="14" customFormat="1">
      <c r="A35" s="5">
        <v>27</v>
      </c>
      <c r="B35" s="6">
        <v>5862282</v>
      </c>
      <c r="C35" s="7">
        <v>15</v>
      </c>
      <c r="D35" s="7">
        <v>15</v>
      </c>
      <c r="E35" s="7">
        <v>15</v>
      </c>
      <c r="F35" s="8">
        <f t="shared" si="2"/>
        <v>40</v>
      </c>
      <c r="G35" s="8">
        <v>19</v>
      </c>
      <c r="H35" s="8">
        <v>21</v>
      </c>
      <c r="I35" s="9">
        <f t="shared" si="3"/>
        <v>40</v>
      </c>
      <c r="J35" s="9">
        <f t="shared" si="4"/>
        <v>80</v>
      </c>
    </row>
    <row r="36" spans="1:10" s="14" customFormat="1">
      <c r="A36" s="5">
        <v>28</v>
      </c>
      <c r="B36" s="6">
        <v>5869372</v>
      </c>
      <c r="C36" s="7">
        <v>15</v>
      </c>
      <c r="D36" s="7">
        <v>13</v>
      </c>
      <c r="E36" s="7">
        <v>15</v>
      </c>
      <c r="F36" s="8">
        <f t="shared" si="2"/>
        <v>38.222222222222221</v>
      </c>
      <c r="G36" s="8">
        <v>11</v>
      </c>
      <c r="H36" s="8">
        <v>17</v>
      </c>
      <c r="I36" s="9">
        <f t="shared" si="3"/>
        <v>28</v>
      </c>
      <c r="J36" s="9">
        <f t="shared" si="4"/>
        <v>66.222222222222229</v>
      </c>
    </row>
    <row r="37" spans="1:10" s="14" customFormat="1">
      <c r="A37" s="5">
        <v>29</v>
      </c>
      <c r="B37" s="6">
        <v>5872630</v>
      </c>
      <c r="C37" s="7">
        <v>12</v>
      </c>
      <c r="D37" s="7">
        <v>14</v>
      </c>
      <c r="E37" s="7">
        <v>14</v>
      </c>
      <c r="F37" s="8">
        <f t="shared" si="2"/>
        <v>35.555555555555557</v>
      </c>
      <c r="G37" s="8">
        <v>17</v>
      </c>
      <c r="H37" s="8">
        <v>19</v>
      </c>
      <c r="I37" s="9">
        <f t="shared" si="3"/>
        <v>36</v>
      </c>
      <c r="J37" s="9">
        <f t="shared" si="4"/>
        <v>71.555555555555557</v>
      </c>
    </row>
    <row r="38" spans="1:10" s="14" customFormat="1">
      <c r="A38" s="5">
        <v>30</v>
      </c>
      <c r="B38" s="6">
        <v>5878254</v>
      </c>
      <c r="C38" s="7">
        <v>13</v>
      </c>
      <c r="D38" s="7">
        <v>14</v>
      </c>
      <c r="E38" s="7">
        <v>13</v>
      </c>
      <c r="F38" s="8">
        <f t="shared" si="2"/>
        <v>35.555555555555557</v>
      </c>
      <c r="G38" s="8">
        <v>9</v>
      </c>
      <c r="H38" s="8">
        <v>18</v>
      </c>
      <c r="I38" s="9">
        <f t="shared" si="3"/>
        <v>27</v>
      </c>
      <c r="J38" s="9">
        <f t="shared" si="4"/>
        <v>62.555555555555557</v>
      </c>
    </row>
    <row r="39" spans="1:10" s="14" customFormat="1">
      <c r="A39" s="5">
        <v>31</v>
      </c>
      <c r="B39" s="6">
        <v>5908360</v>
      </c>
      <c r="C39" s="7">
        <v>15</v>
      </c>
      <c r="D39" s="7">
        <v>15</v>
      </c>
      <c r="E39" s="7">
        <v>15</v>
      </c>
      <c r="F39" s="8">
        <f t="shared" si="2"/>
        <v>40</v>
      </c>
      <c r="G39" s="8">
        <v>21</v>
      </c>
      <c r="H39" s="8">
        <v>23</v>
      </c>
      <c r="I39" s="9">
        <f t="shared" si="3"/>
        <v>44</v>
      </c>
      <c r="J39" s="9">
        <f t="shared" si="4"/>
        <v>84</v>
      </c>
    </row>
    <row r="40" spans="1:10" s="14" customFormat="1">
      <c r="A40" s="5">
        <v>32</v>
      </c>
      <c r="B40" s="6">
        <v>5909970</v>
      </c>
      <c r="C40" s="7">
        <v>10</v>
      </c>
      <c r="D40" s="7">
        <v>8</v>
      </c>
      <c r="E40" s="7">
        <v>8</v>
      </c>
      <c r="F40" s="8">
        <f t="shared" si="2"/>
        <v>23.111111111111114</v>
      </c>
      <c r="G40" s="8">
        <v>17</v>
      </c>
      <c r="H40" s="8">
        <v>17</v>
      </c>
      <c r="I40" s="9">
        <f t="shared" si="3"/>
        <v>34</v>
      </c>
      <c r="J40" s="9">
        <f t="shared" si="4"/>
        <v>57.111111111111114</v>
      </c>
    </row>
    <row r="41" spans="1:10" s="14" customFormat="1">
      <c r="A41" s="5">
        <v>33</v>
      </c>
      <c r="B41" s="6">
        <v>5926977</v>
      </c>
      <c r="C41" s="7">
        <v>9</v>
      </c>
      <c r="D41" s="7">
        <v>10</v>
      </c>
      <c r="E41" s="7">
        <v>15</v>
      </c>
      <c r="F41" s="8">
        <f t="shared" ref="F41:F72" si="5">SUM(C41:E41)*100/45*0.4</f>
        <v>30.222222222222225</v>
      </c>
      <c r="G41" s="8">
        <v>23</v>
      </c>
      <c r="H41" s="8">
        <v>23</v>
      </c>
      <c r="I41" s="9">
        <f t="shared" ref="I41:I72" si="6">SUM(G41:H41)</f>
        <v>46</v>
      </c>
      <c r="J41" s="9">
        <f t="shared" ref="J41:J72" si="7">F41+I41</f>
        <v>76.222222222222229</v>
      </c>
    </row>
    <row r="42" spans="1:10" s="14" customFormat="1">
      <c r="A42" s="5">
        <v>34</v>
      </c>
      <c r="B42" s="6">
        <v>5934651</v>
      </c>
      <c r="C42" s="7">
        <v>12</v>
      </c>
      <c r="D42" s="7">
        <v>13</v>
      </c>
      <c r="E42" s="7">
        <v>13</v>
      </c>
      <c r="F42" s="8">
        <f t="shared" si="5"/>
        <v>33.777777777777779</v>
      </c>
      <c r="G42" s="8">
        <v>23</v>
      </c>
      <c r="H42" s="8">
        <v>19</v>
      </c>
      <c r="I42" s="9">
        <f t="shared" si="6"/>
        <v>42</v>
      </c>
      <c r="J42" s="9">
        <f t="shared" si="7"/>
        <v>75.777777777777771</v>
      </c>
    </row>
    <row r="43" spans="1:10" s="14" customFormat="1">
      <c r="A43" s="5">
        <v>35</v>
      </c>
      <c r="B43" s="6">
        <v>5937347</v>
      </c>
      <c r="C43" s="7">
        <v>11</v>
      </c>
      <c r="D43" s="7">
        <v>13</v>
      </c>
      <c r="E43" s="7">
        <v>9</v>
      </c>
      <c r="F43" s="8">
        <f t="shared" si="5"/>
        <v>29.333333333333332</v>
      </c>
      <c r="G43" s="8">
        <v>13</v>
      </c>
      <c r="H43" s="8">
        <v>14</v>
      </c>
      <c r="I43" s="9">
        <f t="shared" si="6"/>
        <v>27</v>
      </c>
      <c r="J43" s="9">
        <f t="shared" si="7"/>
        <v>56.333333333333329</v>
      </c>
    </row>
    <row r="44" spans="1:10" s="14" customFormat="1">
      <c r="A44" s="5">
        <v>36</v>
      </c>
      <c r="B44" s="6">
        <v>5964558</v>
      </c>
      <c r="C44" s="7">
        <v>10</v>
      </c>
      <c r="D44" s="7">
        <v>14</v>
      </c>
      <c r="E44" s="7">
        <v>15</v>
      </c>
      <c r="F44" s="8">
        <f t="shared" si="5"/>
        <v>34.666666666666671</v>
      </c>
      <c r="G44" s="8">
        <v>12</v>
      </c>
      <c r="H44" s="8">
        <v>19</v>
      </c>
      <c r="I44" s="9">
        <f t="shared" si="6"/>
        <v>31</v>
      </c>
      <c r="J44" s="9">
        <f t="shared" si="7"/>
        <v>65.666666666666671</v>
      </c>
    </row>
    <row r="45" spans="1:10" s="14" customFormat="1">
      <c r="A45" s="5">
        <v>37</v>
      </c>
      <c r="B45" s="6">
        <v>5967137</v>
      </c>
      <c r="C45" s="7">
        <v>6</v>
      </c>
      <c r="D45" s="7">
        <v>15</v>
      </c>
      <c r="E45" s="7">
        <v>13</v>
      </c>
      <c r="F45" s="8">
        <f t="shared" si="5"/>
        <v>30.222222222222225</v>
      </c>
      <c r="G45" s="8">
        <v>14</v>
      </c>
      <c r="H45" s="8">
        <v>19</v>
      </c>
      <c r="I45" s="9">
        <f t="shared" si="6"/>
        <v>33</v>
      </c>
      <c r="J45" s="9">
        <f t="shared" si="7"/>
        <v>63.222222222222229</v>
      </c>
    </row>
    <row r="46" spans="1:10" s="14" customFormat="1">
      <c r="A46" s="5">
        <v>38</v>
      </c>
      <c r="B46" s="6">
        <v>5985294</v>
      </c>
      <c r="C46" s="7">
        <v>13</v>
      </c>
      <c r="D46" s="7">
        <v>15</v>
      </c>
      <c r="E46" s="7">
        <v>15</v>
      </c>
      <c r="F46" s="8">
        <f t="shared" si="5"/>
        <v>38.222222222222221</v>
      </c>
      <c r="G46" s="8">
        <v>14</v>
      </c>
      <c r="H46" s="8">
        <v>20</v>
      </c>
      <c r="I46" s="9">
        <f t="shared" si="6"/>
        <v>34</v>
      </c>
      <c r="J46" s="9">
        <f t="shared" si="7"/>
        <v>72.222222222222229</v>
      </c>
    </row>
    <row r="47" spans="1:10" s="14" customFormat="1">
      <c r="A47" s="5">
        <v>39</v>
      </c>
      <c r="B47" s="6">
        <v>5986645</v>
      </c>
      <c r="C47" s="7">
        <v>13</v>
      </c>
      <c r="D47" s="7">
        <v>15</v>
      </c>
      <c r="E47" s="7">
        <v>13</v>
      </c>
      <c r="F47" s="8">
        <f t="shared" si="5"/>
        <v>36.44444444444445</v>
      </c>
      <c r="G47" s="8">
        <v>16</v>
      </c>
      <c r="H47" s="8">
        <v>18</v>
      </c>
      <c r="I47" s="9">
        <f t="shared" si="6"/>
        <v>34</v>
      </c>
      <c r="J47" s="9">
        <f t="shared" si="7"/>
        <v>70.444444444444457</v>
      </c>
    </row>
    <row r="48" spans="1:10" s="14" customFormat="1">
      <c r="A48" s="5">
        <v>40</v>
      </c>
      <c r="B48" s="6">
        <v>5987113</v>
      </c>
      <c r="C48" s="7">
        <v>11</v>
      </c>
      <c r="D48" s="7">
        <v>14</v>
      </c>
      <c r="E48" s="7">
        <v>12</v>
      </c>
      <c r="F48" s="8">
        <f t="shared" si="5"/>
        <v>32.888888888888893</v>
      </c>
      <c r="G48" s="8">
        <v>15</v>
      </c>
      <c r="H48" s="8">
        <v>17</v>
      </c>
      <c r="I48" s="9">
        <f t="shared" si="6"/>
        <v>32</v>
      </c>
      <c r="J48" s="9">
        <f t="shared" si="7"/>
        <v>64.888888888888886</v>
      </c>
    </row>
    <row r="49" spans="1:10" s="14" customFormat="1">
      <c r="A49" s="5">
        <v>41</v>
      </c>
      <c r="B49" s="6">
        <v>5987664</v>
      </c>
      <c r="C49" s="7">
        <v>10</v>
      </c>
      <c r="D49" s="7">
        <v>15</v>
      </c>
      <c r="E49" s="7">
        <v>12</v>
      </c>
      <c r="F49" s="8">
        <f t="shared" si="5"/>
        <v>32.888888888888893</v>
      </c>
      <c r="G49" s="8">
        <v>9</v>
      </c>
      <c r="H49" s="8">
        <v>16</v>
      </c>
      <c r="I49" s="9">
        <f t="shared" si="6"/>
        <v>25</v>
      </c>
      <c r="J49" s="9">
        <f t="shared" si="7"/>
        <v>57.888888888888893</v>
      </c>
    </row>
    <row r="50" spans="1:10" s="14" customFormat="1">
      <c r="A50" s="5">
        <v>42</v>
      </c>
      <c r="B50" s="6">
        <v>6005783</v>
      </c>
      <c r="C50" s="7">
        <v>11</v>
      </c>
      <c r="D50" s="7">
        <v>14</v>
      </c>
      <c r="E50" s="7">
        <v>14</v>
      </c>
      <c r="F50" s="8">
        <f t="shared" si="5"/>
        <v>34.666666666666671</v>
      </c>
      <c r="G50" s="8">
        <v>12</v>
      </c>
      <c r="H50" s="8">
        <v>16</v>
      </c>
      <c r="I50" s="9">
        <f t="shared" si="6"/>
        <v>28</v>
      </c>
      <c r="J50" s="9">
        <f t="shared" si="7"/>
        <v>62.666666666666671</v>
      </c>
    </row>
    <row r="51" spans="1:10" s="14" customFormat="1">
      <c r="A51" s="5">
        <v>43</v>
      </c>
      <c r="B51" s="6">
        <v>6008200</v>
      </c>
      <c r="C51" s="7">
        <v>15</v>
      </c>
      <c r="D51" s="7">
        <v>12</v>
      </c>
      <c r="E51" s="7">
        <v>14</v>
      </c>
      <c r="F51" s="8">
        <f t="shared" si="5"/>
        <v>36.44444444444445</v>
      </c>
      <c r="G51" s="8">
        <v>11</v>
      </c>
      <c r="H51" s="8">
        <v>18</v>
      </c>
      <c r="I51" s="9">
        <f t="shared" si="6"/>
        <v>29</v>
      </c>
      <c r="J51" s="9">
        <f t="shared" si="7"/>
        <v>65.444444444444457</v>
      </c>
    </row>
    <row r="52" spans="1:10" s="14" customFormat="1">
      <c r="A52" s="5">
        <v>44</v>
      </c>
      <c r="B52" s="6">
        <v>6010908</v>
      </c>
      <c r="C52" s="7">
        <v>12</v>
      </c>
      <c r="D52" s="7">
        <v>14</v>
      </c>
      <c r="E52" s="7">
        <v>12</v>
      </c>
      <c r="F52" s="8">
        <f t="shared" si="5"/>
        <v>33.777777777777779</v>
      </c>
      <c r="G52" s="8">
        <v>10</v>
      </c>
      <c r="H52" s="8">
        <v>12</v>
      </c>
      <c r="I52" s="9">
        <f t="shared" si="6"/>
        <v>22</v>
      </c>
      <c r="J52" s="9">
        <f t="shared" si="7"/>
        <v>55.777777777777779</v>
      </c>
    </row>
    <row r="53" spans="1:10" s="14" customFormat="1">
      <c r="A53" s="5">
        <v>45</v>
      </c>
      <c r="B53" s="6">
        <v>6035404</v>
      </c>
      <c r="C53" s="7">
        <v>13</v>
      </c>
      <c r="D53" s="7">
        <v>9</v>
      </c>
      <c r="E53" s="7">
        <v>12</v>
      </c>
      <c r="F53" s="8">
        <f t="shared" si="5"/>
        <v>30.222222222222225</v>
      </c>
      <c r="G53" s="8">
        <v>14</v>
      </c>
      <c r="H53" s="8">
        <v>9</v>
      </c>
      <c r="I53" s="9">
        <f t="shared" si="6"/>
        <v>23</v>
      </c>
      <c r="J53" s="9">
        <f t="shared" si="7"/>
        <v>53.222222222222229</v>
      </c>
    </row>
    <row r="54" spans="1:10" s="14" customFormat="1">
      <c r="A54" s="5">
        <v>46</v>
      </c>
      <c r="B54" s="6">
        <v>6038792</v>
      </c>
      <c r="C54" s="7">
        <v>13</v>
      </c>
      <c r="D54" s="7">
        <v>9</v>
      </c>
      <c r="E54" s="7">
        <v>14</v>
      </c>
      <c r="F54" s="8">
        <f t="shared" si="5"/>
        <v>32</v>
      </c>
      <c r="G54" s="8">
        <v>13</v>
      </c>
      <c r="H54" s="8">
        <v>19</v>
      </c>
      <c r="I54" s="9">
        <f t="shared" si="6"/>
        <v>32</v>
      </c>
      <c r="J54" s="9">
        <f t="shared" si="7"/>
        <v>64</v>
      </c>
    </row>
    <row r="55" spans="1:10" s="14" customFormat="1">
      <c r="A55" s="5">
        <v>47</v>
      </c>
      <c r="B55" s="6">
        <v>6052185</v>
      </c>
      <c r="C55" s="7">
        <v>11</v>
      </c>
      <c r="D55" s="7">
        <v>10</v>
      </c>
      <c r="E55" s="7">
        <v>13</v>
      </c>
      <c r="F55" s="8">
        <f t="shared" si="5"/>
        <v>30.222222222222225</v>
      </c>
      <c r="G55" s="8">
        <v>20</v>
      </c>
      <c r="H55" s="8">
        <v>23</v>
      </c>
      <c r="I55" s="9">
        <f t="shared" si="6"/>
        <v>43</v>
      </c>
      <c r="J55" s="9">
        <f t="shared" si="7"/>
        <v>73.222222222222229</v>
      </c>
    </row>
    <row r="56" spans="1:10" s="14" customFormat="1">
      <c r="A56" s="5">
        <v>48</v>
      </c>
      <c r="B56" s="6">
        <v>6052710</v>
      </c>
      <c r="C56" s="7">
        <v>15</v>
      </c>
      <c r="D56" s="7">
        <v>15</v>
      </c>
      <c r="E56" s="7">
        <v>15</v>
      </c>
      <c r="F56" s="8">
        <f t="shared" si="5"/>
        <v>40</v>
      </c>
      <c r="G56" s="8">
        <v>21</v>
      </c>
      <c r="H56" s="8">
        <v>25</v>
      </c>
      <c r="I56" s="9">
        <f t="shared" si="6"/>
        <v>46</v>
      </c>
      <c r="J56" s="9">
        <f t="shared" si="7"/>
        <v>86</v>
      </c>
    </row>
    <row r="57" spans="1:10" s="14" customFormat="1">
      <c r="A57" s="5">
        <v>49</v>
      </c>
      <c r="B57" s="6">
        <v>6056804</v>
      </c>
      <c r="C57" s="7">
        <v>9</v>
      </c>
      <c r="D57" s="7">
        <v>13</v>
      </c>
      <c r="E57" s="7">
        <v>13</v>
      </c>
      <c r="F57" s="8">
        <f t="shared" si="5"/>
        <v>31.111111111111111</v>
      </c>
      <c r="G57" s="8">
        <v>0</v>
      </c>
      <c r="H57" s="8">
        <v>0</v>
      </c>
      <c r="I57" s="8">
        <f t="shared" si="6"/>
        <v>0</v>
      </c>
      <c r="J57" s="8">
        <f t="shared" si="7"/>
        <v>31.111111111111111</v>
      </c>
    </row>
    <row r="58" spans="1:10" s="14" customFormat="1">
      <c r="A58" s="5">
        <v>50</v>
      </c>
      <c r="B58" s="6">
        <v>6064654</v>
      </c>
      <c r="C58" s="7">
        <v>12</v>
      </c>
      <c r="D58" s="7">
        <v>14</v>
      </c>
      <c r="E58" s="7">
        <v>15</v>
      </c>
      <c r="F58" s="8">
        <f t="shared" si="5"/>
        <v>36.44444444444445</v>
      </c>
      <c r="G58" s="8">
        <v>24</v>
      </c>
      <c r="H58" s="8">
        <v>11</v>
      </c>
      <c r="I58" s="9">
        <f t="shared" si="6"/>
        <v>35</v>
      </c>
      <c r="J58" s="9">
        <f t="shared" si="7"/>
        <v>71.444444444444457</v>
      </c>
    </row>
    <row r="59" spans="1:10" s="14" customFormat="1">
      <c r="A59" s="5">
        <v>51</v>
      </c>
      <c r="B59" s="6">
        <v>6066838</v>
      </c>
      <c r="C59" s="7">
        <v>10</v>
      </c>
      <c r="D59" s="7">
        <v>15</v>
      </c>
      <c r="E59" s="7">
        <v>15</v>
      </c>
      <c r="F59" s="8">
        <f t="shared" si="5"/>
        <v>35.555555555555557</v>
      </c>
      <c r="G59" s="8">
        <v>12</v>
      </c>
      <c r="H59" s="8">
        <v>15</v>
      </c>
      <c r="I59" s="9">
        <f t="shared" si="6"/>
        <v>27</v>
      </c>
      <c r="J59" s="9">
        <f t="shared" si="7"/>
        <v>62.555555555555557</v>
      </c>
    </row>
    <row r="60" spans="1:10" s="14" customFormat="1">
      <c r="A60" s="5">
        <v>52</v>
      </c>
      <c r="B60" s="6">
        <v>6099497</v>
      </c>
      <c r="C60" s="7">
        <v>13</v>
      </c>
      <c r="D60" s="7">
        <v>14</v>
      </c>
      <c r="E60" s="7">
        <v>15</v>
      </c>
      <c r="F60" s="8">
        <f t="shared" si="5"/>
        <v>37.333333333333336</v>
      </c>
      <c r="G60" s="8">
        <v>19</v>
      </c>
      <c r="H60" s="8">
        <v>20</v>
      </c>
      <c r="I60" s="9">
        <f t="shared" si="6"/>
        <v>39</v>
      </c>
      <c r="J60" s="9">
        <f t="shared" si="7"/>
        <v>76.333333333333343</v>
      </c>
    </row>
    <row r="61" spans="1:10" s="14" customFormat="1">
      <c r="A61" s="5">
        <v>53</v>
      </c>
      <c r="B61" s="6">
        <v>6102776</v>
      </c>
      <c r="C61" s="7">
        <v>10</v>
      </c>
      <c r="D61" s="7">
        <v>12</v>
      </c>
      <c r="E61" s="7">
        <v>11</v>
      </c>
      <c r="F61" s="8">
        <f t="shared" si="5"/>
        <v>29.333333333333332</v>
      </c>
      <c r="G61" s="8">
        <v>14</v>
      </c>
      <c r="H61" s="8">
        <v>20</v>
      </c>
      <c r="I61" s="9">
        <f t="shared" si="6"/>
        <v>34</v>
      </c>
      <c r="J61" s="9">
        <f t="shared" si="7"/>
        <v>63.333333333333329</v>
      </c>
    </row>
    <row r="62" spans="1:10" s="14" customFormat="1">
      <c r="A62" s="5">
        <v>54</v>
      </c>
      <c r="B62" s="6">
        <v>6114524</v>
      </c>
      <c r="C62" s="7">
        <v>11</v>
      </c>
      <c r="D62" s="7">
        <v>14</v>
      </c>
      <c r="E62" s="7">
        <v>13</v>
      </c>
      <c r="F62" s="8">
        <f t="shared" si="5"/>
        <v>33.777777777777779</v>
      </c>
      <c r="G62" s="8">
        <v>16</v>
      </c>
      <c r="H62" s="8">
        <v>19</v>
      </c>
      <c r="I62" s="9">
        <f t="shared" si="6"/>
        <v>35</v>
      </c>
      <c r="J62" s="9">
        <f t="shared" si="7"/>
        <v>68.777777777777771</v>
      </c>
    </row>
    <row r="63" spans="1:10" s="14" customFormat="1">
      <c r="A63" s="5">
        <v>55</v>
      </c>
      <c r="B63" s="6">
        <v>6127945</v>
      </c>
      <c r="C63" s="7">
        <v>10</v>
      </c>
      <c r="D63" s="7">
        <v>11</v>
      </c>
      <c r="E63" s="15">
        <v>14</v>
      </c>
      <c r="F63" s="8">
        <f t="shared" si="5"/>
        <v>31.111111111111111</v>
      </c>
      <c r="G63" s="8">
        <v>10</v>
      </c>
      <c r="H63" s="8">
        <v>22</v>
      </c>
      <c r="I63" s="9">
        <f t="shared" si="6"/>
        <v>32</v>
      </c>
      <c r="J63" s="9">
        <f t="shared" si="7"/>
        <v>63.111111111111114</v>
      </c>
    </row>
    <row r="64" spans="1:10" s="14" customFormat="1">
      <c r="A64" s="5">
        <v>56</v>
      </c>
      <c r="B64" s="6">
        <v>6132089</v>
      </c>
      <c r="C64" s="7">
        <v>15</v>
      </c>
      <c r="D64" s="7">
        <v>13</v>
      </c>
      <c r="E64" s="7">
        <v>14</v>
      </c>
      <c r="F64" s="8">
        <f t="shared" si="5"/>
        <v>37.333333333333336</v>
      </c>
      <c r="G64" s="8">
        <v>15</v>
      </c>
      <c r="H64" s="8">
        <v>23</v>
      </c>
      <c r="I64" s="9">
        <f t="shared" si="6"/>
        <v>38</v>
      </c>
      <c r="J64" s="9">
        <f t="shared" si="7"/>
        <v>75.333333333333343</v>
      </c>
    </row>
    <row r="65" spans="1:10" s="14" customFormat="1">
      <c r="A65" s="5">
        <v>57</v>
      </c>
      <c r="B65" s="6">
        <v>6132254</v>
      </c>
      <c r="C65" s="7">
        <v>14</v>
      </c>
      <c r="D65" s="7">
        <v>15</v>
      </c>
      <c r="E65" s="7">
        <v>15</v>
      </c>
      <c r="F65" s="8">
        <f t="shared" si="5"/>
        <v>39.111111111111114</v>
      </c>
      <c r="G65" s="8">
        <v>13</v>
      </c>
      <c r="H65" s="8">
        <v>18</v>
      </c>
      <c r="I65" s="9">
        <f t="shared" si="6"/>
        <v>31</v>
      </c>
      <c r="J65" s="9">
        <f t="shared" si="7"/>
        <v>70.111111111111114</v>
      </c>
    </row>
    <row r="66" spans="1:10" s="14" customFormat="1">
      <c r="A66" s="5">
        <v>58</v>
      </c>
      <c r="B66" s="6">
        <v>6170616</v>
      </c>
      <c r="C66" s="7">
        <v>12</v>
      </c>
      <c r="D66" s="7">
        <v>13</v>
      </c>
      <c r="E66" s="7">
        <v>15</v>
      </c>
      <c r="F66" s="8">
        <f t="shared" si="5"/>
        <v>35.555555555555557</v>
      </c>
      <c r="G66" s="8">
        <v>11</v>
      </c>
      <c r="H66" s="8">
        <v>21</v>
      </c>
      <c r="I66" s="9">
        <f t="shared" si="6"/>
        <v>32</v>
      </c>
      <c r="J66" s="9">
        <f t="shared" si="7"/>
        <v>67.555555555555557</v>
      </c>
    </row>
    <row r="67" spans="1:10" s="14" customFormat="1">
      <c r="A67" s="5">
        <v>59</v>
      </c>
      <c r="B67" s="6">
        <v>6193607</v>
      </c>
      <c r="C67" s="7">
        <v>13</v>
      </c>
      <c r="D67" s="7">
        <v>13</v>
      </c>
      <c r="E67" s="7">
        <v>13</v>
      </c>
      <c r="F67" s="8">
        <f t="shared" si="5"/>
        <v>34.666666666666671</v>
      </c>
      <c r="G67" s="8">
        <v>13</v>
      </c>
      <c r="H67" s="8">
        <v>20</v>
      </c>
      <c r="I67" s="9">
        <f t="shared" si="6"/>
        <v>33</v>
      </c>
      <c r="J67" s="9">
        <f t="shared" si="7"/>
        <v>67.666666666666671</v>
      </c>
    </row>
    <row r="68" spans="1:10" s="14" customFormat="1">
      <c r="A68" s="5">
        <v>60</v>
      </c>
      <c r="B68" s="6">
        <v>6209392</v>
      </c>
      <c r="C68" s="7">
        <v>13</v>
      </c>
      <c r="D68" s="7">
        <v>13</v>
      </c>
      <c r="E68" s="7">
        <v>13</v>
      </c>
      <c r="F68" s="8">
        <f t="shared" si="5"/>
        <v>34.666666666666671</v>
      </c>
      <c r="G68" s="8">
        <v>18</v>
      </c>
      <c r="H68" s="8">
        <v>21</v>
      </c>
      <c r="I68" s="9">
        <f t="shared" si="6"/>
        <v>39</v>
      </c>
      <c r="J68" s="9">
        <f t="shared" si="7"/>
        <v>73.666666666666671</v>
      </c>
    </row>
    <row r="69" spans="1:10" s="14" customFormat="1">
      <c r="A69" s="5">
        <v>61</v>
      </c>
      <c r="B69" s="6">
        <v>6210107</v>
      </c>
      <c r="C69" s="7">
        <v>14</v>
      </c>
      <c r="D69" s="7">
        <v>14</v>
      </c>
      <c r="E69" s="7">
        <v>12</v>
      </c>
      <c r="F69" s="8">
        <f t="shared" si="5"/>
        <v>35.555555555555557</v>
      </c>
      <c r="G69" s="8">
        <v>12</v>
      </c>
      <c r="H69" s="8">
        <v>21</v>
      </c>
      <c r="I69" s="9">
        <f t="shared" si="6"/>
        <v>33</v>
      </c>
      <c r="J69" s="9">
        <f t="shared" si="7"/>
        <v>68.555555555555557</v>
      </c>
    </row>
    <row r="70" spans="1:10" s="14" customFormat="1">
      <c r="A70" s="5">
        <v>62</v>
      </c>
      <c r="B70" s="6">
        <v>6217667</v>
      </c>
      <c r="C70" s="7">
        <v>9</v>
      </c>
      <c r="D70" s="7">
        <v>9</v>
      </c>
      <c r="E70" s="7">
        <v>12</v>
      </c>
      <c r="F70" s="8">
        <f t="shared" si="5"/>
        <v>26.666666666666671</v>
      </c>
      <c r="G70" s="8">
        <v>16</v>
      </c>
      <c r="H70" s="8">
        <v>19</v>
      </c>
      <c r="I70" s="9">
        <f t="shared" si="6"/>
        <v>35</v>
      </c>
      <c r="J70" s="9">
        <f t="shared" si="7"/>
        <v>61.666666666666671</v>
      </c>
    </row>
    <row r="71" spans="1:10" s="14" customFormat="1">
      <c r="A71" s="5">
        <v>63</v>
      </c>
      <c r="B71" s="6">
        <v>6245372</v>
      </c>
      <c r="C71" s="7">
        <v>9</v>
      </c>
      <c r="D71" s="7">
        <v>15</v>
      </c>
      <c r="E71" s="7">
        <v>15</v>
      </c>
      <c r="F71" s="8">
        <f t="shared" si="5"/>
        <v>34.666666666666671</v>
      </c>
      <c r="G71" s="8">
        <v>14</v>
      </c>
      <c r="H71" s="8">
        <v>15</v>
      </c>
      <c r="I71" s="9">
        <f t="shared" si="6"/>
        <v>29</v>
      </c>
      <c r="J71" s="9">
        <f t="shared" si="7"/>
        <v>63.666666666666671</v>
      </c>
    </row>
    <row r="72" spans="1:10" s="14" customFormat="1">
      <c r="A72" s="5">
        <v>64</v>
      </c>
      <c r="B72" s="6">
        <v>6245404</v>
      </c>
      <c r="C72" s="7">
        <v>13</v>
      </c>
      <c r="D72" s="7">
        <v>12</v>
      </c>
      <c r="E72" s="7">
        <v>14</v>
      </c>
      <c r="F72" s="8">
        <f t="shared" si="5"/>
        <v>34.666666666666671</v>
      </c>
      <c r="G72" s="8">
        <v>9</v>
      </c>
      <c r="H72" s="8">
        <v>20</v>
      </c>
      <c r="I72" s="9">
        <f t="shared" si="6"/>
        <v>29</v>
      </c>
      <c r="J72" s="9">
        <f t="shared" si="7"/>
        <v>63.666666666666671</v>
      </c>
    </row>
    <row r="73" spans="1:10" s="14" customFormat="1">
      <c r="A73" s="5">
        <v>65</v>
      </c>
      <c r="B73" s="6">
        <v>6246748</v>
      </c>
      <c r="C73" s="7">
        <v>15</v>
      </c>
      <c r="D73" s="7">
        <v>14</v>
      </c>
      <c r="E73" s="7">
        <v>14</v>
      </c>
      <c r="F73" s="8">
        <f t="shared" ref="F73:F96" si="8">SUM(C73:E73)*100/45*0.4</f>
        <v>38.222222222222221</v>
      </c>
      <c r="G73" s="8">
        <v>20</v>
      </c>
      <c r="H73" s="8">
        <v>15</v>
      </c>
      <c r="I73" s="9">
        <f t="shared" ref="I73:I96" si="9">SUM(G73:H73)</f>
        <v>35</v>
      </c>
      <c r="J73" s="9">
        <f t="shared" ref="J73:J96" si="10">F73+I73</f>
        <v>73.222222222222229</v>
      </c>
    </row>
    <row r="74" spans="1:10" s="14" customFormat="1">
      <c r="A74" s="5">
        <v>66</v>
      </c>
      <c r="B74" s="6">
        <v>6248543</v>
      </c>
      <c r="C74" s="7">
        <v>8</v>
      </c>
      <c r="D74" s="7">
        <v>7</v>
      </c>
      <c r="E74" s="7">
        <v>13</v>
      </c>
      <c r="F74" s="8">
        <f t="shared" si="8"/>
        <v>24.888888888888889</v>
      </c>
      <c r="G74" s="8">
        <v>13</v>
      </c>
      <c r="H74" s="8">
        <v>14</v>
      </c>
      <c r="I74" s="9">
        <f t="shared" si="9"/>
        <v>27</v>
      </c>
      <c r="J74" s="9">
        <f t="shared" si="10"/>
        <v>51.888888888888886</v>
      </c>
    </row>
    <row r="75" spans="1:10" s="14" customFormat="1">
      <c r="A75" s="5">
        <v>67</v>
      </c>
      <c r="B75" s="6">
        <v>6257617</v>
      </c>
      <c r="C75" s="7">
        <v>13</v>
      </c>
      <c r="D75" s="7">
        <v>15</v>
      </c>
      <c r="E75" s="7">
        <v>15</v>
      </c>
      <c r="F75" s="8">
        <f t="shared" si="8"/>
        <v>38.222222222222221</v>
      </c>
      <c r="G75" s="8">
        <v>19</v>
      </c>
      <c r="H75" s="8">
        <v>18</v>
      </c>
      <c r="I75" s="9">
        <f t="shared" si="9"/>
        <v>37</v>
      </c>
      <c r="J75" s="9">
        <f t="shared" si="10"/>
        <v>75.222222222222229</v>
      </c>
    </row>
    <row r="76" spans="1:10" s="14" customFormat="1">
      <c r="A76" s="5">
        <v>68</v>
      </c>
      <c r="B76" s="6">
        <v>6508093</v>
      </c>
      <c r="C76" s="7">
        <v>15</v>
      </c>
      <c r="D76" s="7">
        <v>15</v>
      </c>
      <c r="E76" s="7">
        <v>15</v>
      </c>
      <c r="F76" s="8">
        <f t="shared" si="8"/>
        <v>40</v>
      </c>
      <c r="G76" s="8">
        <v>20</v>
      </c>
      <c r="H76" s="8">
        <v>25</v>
      </c>
      <c r="I76" s="9">
        <f t="shared" si="9"/>
        <v>45</v>
      </c>
      <c r="J76" s="9">
        <f t="shared" si="10"/>
        <v>85</v>
      </c>
    </row>
    <row r="77" spans="1:10" s="14" customFormat="1">
      <c r="A77" s="5">
        <v>69</v>
      </c>
      <c r="B77" s="6">
        <v>6510017</v>
      </c>
      <c r="C77" s="7">
        <v>15</v>
      </c>
      <c r="D77" s="7">
        <v>14</v>
      </c>
      <c r="E77" s="7">
        <v>15</v>
      </c>
      <c r="F77" s="8">
        <f t="shared" si="8"/>
        <v>39.111111111111114</v>
      </c>
      <c r="G77" s="8">
        <v>21</v>
      </c>
      <c r="H77" s="8">
        <v>23</v>
      </c>
      <c r="I77" s="9">
        <f t="shared" si="9"/>
        <v>44</v>
      </c>
      <c r="J77" s="9">
        <f t="shared" si="10"/>
        <v>83.111111111111114</v>
      </c>
    </row>
    <row r="78" spans="1:10" s="14" customFormat="1">
      <c r="A78" s="5">
        <v>70</v>
      </c>
      <c r="B78" s="6">
        <v>6534414</v>
      </c>
      <c r="C78" s="7">
        <v>11</v>
      </c>
      <c r="D78" s="7">
        <v>11</v>
      </c>
      <c r="E78" s="7">
        <v>9</v>
      </c>
      <c r="F78" s="8">
        <f t="shared" si="8"/>
        <v>27.555555555555557</v>
      </c>
      <c r="G78" s="8">
        <v>26</v>
      </c>
      <c r="H78" s="8">
        <v>20</v>
      </c>
      <c r="I78" s="9">
        <f t="shared" si="9"/>
        <v>46</v>
      </c>
      <c r="J78" s="9">
        <f t="shared" si="10"/>
        <v>73.555555555555557</v>
      </c>
    </row>
    <row r="79" spans="1:10" s="14" customFormat="1">
      <c r="A79" s="5">
        <v>71</v>
      </c>
      <c r="B79" s="6">
        <v>6623675</v>
      </c>
      <c r="C79" s="7">
        <v>11</v>
      </c>
      <c r="D79" s="7">
        <v>14</v>
      </c>
      <c r="E79" s="7">
        <v>14</v>
      </c>
      <c r="F79" s="8">
        <f t="shared" si="8"/>
        <v>34.666666666666671</v>
      </c>
      <c r="G79" s="8">
        <v>15</v>
      </c>
      <c r="H79" s="8">
        <v>19</v>
      </c>
      <c r="I79" s="9">
        <f t="shared" si="9"/>
        <v>34</v>
      </c>
      <c r="J79" s="9">
        <f t="shared" si="10"/>
        <v>68.666666666666671</v>
      </c>
    </row>
    <row r="80" spans="1:10" s="14" customFormat="1">
      <c r="A80" s="5">
        <v>72</v>
      </c>
      <c r="B80" s="6">
        <v>6738024</v>
      </c>
      <c r="C80" s="7">
        <v>10</v>
      </c>
      <c r="D80" s="7">
        <v>10</v>
      </c>
      <c r="E80" s="7">
        <v>11</v>
      </c>
      <c r="F80" s="8">
        <f t="shared" si="8"/>
        <v>27.555555555555557</v>
      </c>
      <c r="G80" s="8">
        <v>16</v>
      </c>
      <c r="H80" s="8">
        <v>14</v>
      </c>
      <c r="I80" s="9">
        <f t="shared" si="9"/>
        <v>30</v>
      </c>
      <c r="J80" s="9">
        <f t="shared" si="10"/>
        <v>57.555555555555557</v>
      </c>
    </row>
    <row r="81" spans="1:10" s="14" customFormat="1">
      <c r="A81" s="5">
        <v>73</v>
      </c>
      <c r="B81" s="6">
        <v>6761682</v>
      </c>
      <c r="C81" s="7">
        <v>15</v>
      </c>
      <c r="D81" s="7">
        <v>15</v>
      </c>
      <c r="E81" s="7">
        <v>14</v>
      </c>
      <c r="F81" s="8">
        <f t="shared" si="8"/>
        <v>39.111111111111114</v>
      </c>
      <c r="G81" s="8">
        <v>20</v>
      </c>
      <c r="H81" s="8">
        <v>21</v>
      </c>
      <c r="I81" s="9">
        <f t="shared" si="9"/>
        <v>41</v>
      </c>
      <c r="J81" s="9">
        <f t="shared" si="10"/>
        <v>80.111111111111114</v>
      </c>
    </row>
    <row r="82" spans="1:10" s="14" customFormat="1">
      <c r="A82" s="5">
        <v>74</v>
      </c>
      <c r="B82" s="6">
        <v>6793003</v>
      </c>
      <c r="C82" s="7">
        <v>13</v>
      </c>
      <c r="D82" s="7">
        <v>14</v>
      </c>
      <c r="E82" s="7">
        <v>15</v>
      </c>
      <c r="F82" s="8">
        <f t="shared" si="8"/>
        <v>37.333333333333336</v>
      </c>
      <c r="G82" s="8">
        <v>20</v>
      </c>
      <c r="H82" s="8">
        <v>17</v>
      </c>
      <c r="I82" s="9">
        <f t="shared" si="9"/>
        <v>37</v>
      </c>
      <c r="J82" s="9">
        <f t="shared" si="10"/>
        <v>74.333333333333343</v>
      </c>
    </row>
    <row r="83" spans="1:10" s="14" customFormat="1">
      <c r="A83" s="5">
        <v>75</v>
      </c>
      <c r="B83" s="6">
        <v>6811707</v>
      </c>
      <c r="C83" s="7">
        <v>15</v>
      </c>
      <c r="D83" s="7">
        <v>15</v>
      </c>
      <c r="E83" s="7">
        <v>15</v>
      </c>
      <c r="F83" s="8">
        <f t="shared" si="8"/>
        <v>40</v>
      </c>
      <c r="G83" s="8">
        <v>15</v>
      </c>
      <c r="H83" s="8">
        <v>19</v>
      </c>
      <c r="I83" s="9">
        <f t="shared" si="9"/>
        <v>34</v>
      </c>
      <c r="J83" s="9">
        <f t="shared" si="10"/>
        <v>74</v>
      </c>
    </row>
    <row r="84" spans="1:10" s="14" customFormat="1">
      <c r="A84" s="5">
        <v>76</v>
      </c>
      <c r="B84" s="6">
        <v>6818288</v>
      </c>
      <c r="C84" s="7">
        <v>14</v>
      </c>
      <c r="D84" s="7">
        <v>15</v>
      </c>
      <c r="E84" s="7">
        <v>15</v>
      </c>
      <c r="F84" s="8">
        <f t="shared" si="8"/>
        <v>39.111111111111114</v>
      </c>
      <c r="G84" s="8">
        <v>13</v>
      </c>
      <c r="H84" s="8">
        <v>11</v>
      </c>
      <c r="I84" s="9">
        <f t="shared" si="9"/>
        <v>24</v>
      </c>
      <c r="J84" s="9">
        <f t="shared" si="10"/>
        <v>63.111111111111114</v>
      </c>
    </row>
    <row r="85" spans="1:10" s="14" customFormat="1">
      <c r="A85" s="5">
        <v>77</v>
      </c>
      <c r="B85" s="6">
        <v>6846407</v>
      </c>
      <c r="C85" s="7">
        <v>8</v>
      </c>
      <c r="D85" s="7">
        <v>12</v>
      </c>
      <c r="E85" s="7">
        <v>12</v>
      </c>
      <c r="F85" s="8">
        <f t="shared" si="8"/>
        <v>28.444444444444446</v>
      </c>
      <c r="G85" s="8">
        <v>20</v>
      </c>
      <c r="H85" s="8">
        <v>19</v>
      </c>
      <c r="I85" s="9">
        <f t="shared" si="9"/>
        <v>39</v>
      </c>
      <c r="J85" s="9">
        <f t="shared" si="10"/>
        <v>67.444444444444443</v>
      </c>
    </row>
    <row r="86" spans="1:10" s="14" customFormat="1">
      <c r="A86" s="5">
        <v>78</v>
      </c>
      <c r="B86" s="6">
        <v>6864351</v>
      </c>
      <c r="C86" s="7">
        <v>15</v>
      </c>
      <c r="D86" s="7">
        <v>15</v>
      </c>
      <c r="E86" s="7">
        <v>15</v>
      </c>
      <c r="F86" s="8">
        <f t="shared" si="8"/>
        <v>40</v>
      </c>
      <c r="G86" s="8">
        <v>16</v>
      </c>
      <c r="H86" s="8">
        <v>20</v>
      </c>
      <c r="I86" s="9">
        <f t="shared" si="9"/>
        <v>36</v>
      </c>
      <c r="J86" s="9">
        <f t="shared" si="10"/>
        <v>76</v>
      </c>
    </row>
    <row r="87" spans="1:10" s="14" customFormat="1">
      <c r="A87" s="5">
        <v>79</v>
      </c>
      <c r="B87" s="6">
        <v>6952605</v>
      </c>
      <c r="C87" s="7">
        <v>6</v>
      </c>
      <c r="D87" s="7">
        <v>9</v>
      </c>
      <c r="E87" s="7">
        <v>7</v>
      </c>
      <c r="F87" s="8">
        <f t="shared" si="8"/>
        <v>19.555555555555557</v>
      </c>
      <c r="G87" s="8">
        <v>12</v>
      </c>
      <c r="H87" s="8">
        <v>8</v>
      </c>
      <c r="I87" s="9">
        <f t="shared" si="9"/>
        <v>20</v>
      </c>
      <c r="J87" s="9">
        <f t="shared" si="10"/>
        <v>39.555555555555557</v>
      </c>
    </row>
    <row r="88" spans="1:10" s="14" customFormat="1">
      <c r="A88" s="5">
        <v>80</v>
      </c>
      <c r="B88" s="6">
        <v>7063614</v>
      </c>
      <c r="C88" s="7">
        <v>11</v>
      </c>
      <c r="D88" s="7">
        <v>13</v>
      </c>
      <c r="E88" s="7">
        <v>14</v>
      </c>
      <c r="F88" s="8">
        <f t="shared" si="8"/>
        <v>33.777777777777779</v>
      </c>
      <c r="G88" s="8">
        <v>16</v>
      </c>
      <c r="H88" s="8">
        <v>20</v>
      </c>
      <c r="I88" s="9">
        <f t="shared" si="9"/>
        <v>36</v>
      </c>
      <c r="J88" s="9">
        <f t="shared" si="10"/>
        <v>69.777777777777771</v>
      </c>
    </row>
    <row r="89" spans="1:10" s="14" customFormat="1">
      <c r="A89" s="5">
        <v>81</v>
      </c>
      <c r="B89" s="6">
        <v>7149244</v>
      </c>
      <c r="C89" s="7">
        <v>13</v>
      </c>
      <c r="D89" s="7">
        <v>12</v>
      </c>
      <c r="E89" s="7">
        <v>14</v>
      </c>
      <c r="F89" s="8">
        <f t="shared" si="8"/>
        <v>34.666666666666671</v>
      </c>
      <c r="G89" s="8">
        <v>13</v>
      </c>
      <c r="H89" s="8">
        <v>19</v>
      </c>
      <c r="I89" s="9">
        <f t="shared" si="9"/>
        <v>32</v>
      </c>
      <c r="J89" s="9">
        <f t="shared" si="10"/>
        <v>66.666666666666671</v>
      </c>
    </row>
    <row r="90" spans="1:10" s="14" customFormat="1">
      <c r="A90" s="5">
        <v>82</v>
      </c>
      <c r="B90" s="6">
        <v>7182276</v>
      </c>
      <c r="C90" s="7">
        <v>15</v>
      </c>
      <c r="D90" s="7">
        <v>15</v>
      </c>
      <c r="E90" s="7">
        <v>15</v>
      </c>
      <c r="F90" s="8">
        <f t="shared" si="8"/>
        <v>40</v>
      </c>
      <c r="G90" s="8">
        <v>15</v>
      </c>
      <c r="H90" s="8">
        <v>19</v>
      </c>
      <c r="I90" s="9">
        <f t="shared" si="9"/>
        <v>34</v>
      </c>
      <c r="J90" s="9">
        <f t="shared" si="10"/>
        <v>74</v>
      </c>
    </row>
    <row r="91" spans="1:10" s="14" customFormat="1">
      <c r="A91" s="5">
        <v>83</v>
      </c>
      <c r="B91" s="6">
        <v>7333108</v>
      </c>
      <c r="C91" s="7">
        <v>15</v>
      </c>
      <c r="D91" s="7">
        <v>14</v>
      </c>
      <c r="E91" s="7">
        <v>15</v>
      </c>
      <c r="F91" s="8">
        <f t="shared" si="8"/>
        <v>39.111111111111114</v>
      </c>
      <c r="G91" s="8">
        <v>13</v>
      </c>
      <c r="H91" s="8">
        <v>14</v>
      </c>
      <c r="I91" s="9">
        <f t="shared" si="9"/>
        <v>27</v>
      </c>
      <c r="J91" s="9">
        <f t="shared" si="10"/>
        <v>66.111111111111114</v>
      </c>
    </row>
    <row r="92" spans="1:10" s="14" customFormat="1">
      <c r="A92" s="5">
        <v>84</v>
      </c>
      <c r="B92" s="6">
        <v>7543801</v>
      </c>
      <c r="C92" s="7">
        <v>12</v>
      </c>
      <c r="D92" s="7">
        <v>13</v>
      </c>
      <c r="E92" s="7">
        <v>14</v>
      </c>
      <c r="F92" s="8">
        <f t="shared" si="8"/>
        <v>34.666666666666671</v>
      </c>
      <c r="G92" s="8">
        <v>15</v>
      </c>
      <c r="H92" s="8">
        <v>16</v>
      </c>
      <c r="I92" s="9">
        <f t="shared" si="9"/>
        <v>31</v>
      </c>
      <c r="J92" s="9">
        <f t="shared" si="10"/>
        <v>65.666666666666671</v>
      </c>
    </row>
    <row r="93" spans="1:10" s="14" customFormat="1">
      <c r="A93" s="5">
        <v>85</v>
      </c>
      <c r="B93" s="6">
        <v>7910313</v>
      </c>
      <c r="C93" s="7">
        <v>11</v>
      </c>
      <c r="D93" s="7">
        <v>8</v>
      </c>
      <c r="E93" s="7">
        <v>12</v>
      </c>
      <c r="F93" s="8">
        <f t="shared" si="8"/>
        <v>27.555555555555557</v>
      </c>
      <c r="G93" s="8">
        <v>15</v>
      </c>
      <c r="H93" s="8">
        <v>16</v>
      </c>
      <c r="I93" s="9">
        <f t="shared" si="9"/>
        <v>31</v>
      </c>
      <c r="J93" s="9">
        <f t="shared" si="10"/>
        <v>58.555555555555557</v>
      </c>
    </row>
    <row r="94" spans="1:10" s="14" customFormat="1">
      <c r="A94" s="5">
        <v>86</v>
      </c>
      <c r="B94" s="6">
        <v>8430596</v>
      </c>
      <c r="C94" s="7">
        <v>10</v>
      </c>
      <c r="D94" s="7">
        <v>14</v>
      </c>
      <c r="E94" s="7">
        <v>12</v>
      </c>
      <c r="F94" s="8">
        <f t="shared" si="8"/>
        <v>32</v>
      </c>
      <c r="G94" s="8">
        <v>8</v>
      </c>
      <c r="H94" s="8">
        <v>12</v>
      </c>
      <c r="I94" s="9">
        <f t="shared" si="9"/>
        <v>20</v>
      </c>
      <c r="J94" s="9">
        <f t="shared" si="10"/>
        <v>52</v>
      </c>
    </row>
    <row r="95" spans="1:10" s="14" customFormat="1">
      <c r="A95" s="5">
        <v>87</v>
      </c>
      <c r="B95" s="6">
        <v>8799669</v>
      </c>
      <c r="C95" s="7">
        <v>12</v>
      </c>
      <c r="D95" s="7">
        <v>10</v>
      </c>
      <c r="E95" s="7">
        <v>7</v>
      </c>
      <c r="F95" s="8">
        <f t="shared" si="8"/>
        <v>25.777777777777779</v>
      </c>
      <c r="G95" s="8">
        <v>9</v>
      </c>
      <c r="H95" s="8">
        <v>18</v>
      </c>
      <c r="I95" s="9">
        <f t="shared" si="9"/>
        <v>27</v>
      </c>
      <c r="J95" s="9">
        <f t="shared" si="10"/>
        <v>52.777777777777779</v>
      </c>
    </row>
    <row r="96" spans="1:10" s="14" customFormat="1" ht="15.75" thickBot="1">
      <c r="A96" s="5">
        <v>88</v>
      </c>
      <c r="B96" s="6">
        <v>66739470</v>
      </c>
      <c r="C96" s="7">
        <v>15</v>
      </c>
      <c r="D96" s="7">
        <v>14</v>
      </c>
      <c r="E96" s="7">
        <v>13</v>
      </c>
      <c r="F96" s="8">
        <f t="shared" si="8"/>
        <v>37.333333333333336</v>
      </c>
      <c r="G96" s="8">
        <v>9</v>
      </c>
      <c r="H96" s="8">
        <v>12</v>
      </c>
      <c r="I96" s="9">
        <f t="shared" si="9"/>
        <v>21</v>
      </c>
      <c r="J96" s="9">
        <f t="shared" si="10"/>
        <v>58.333333333333336</v>
      </c>
    </row>
    <row r="97" spans="1:10" ht="15.75" thickBot="1">
      <c r="A97" s="16" t="s">
        <v>17</v>
      </c>
      <c r="B97" s="17"/>
      <c r="C97" s="17"/>
      <c r="D97" s="17"/>
      <c r="E97" s="17"/>
      <c r="F97" s="17"/>
      <c r="G97" s="17"/>
      <c r="H97" s="17"/>
      <c r="I97" s="17"/>
      <c r="J97" s="18"/>
    </row>
  </sheetData>
  <sortState ref="B9:J96">
    <sortCondition ref="B9:B96"/>
  </sortState>
  <mergeCells count="13">
    <mergeCell ref="A97:J97"/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90" orientation="portrait" r:id="rId1"/>
  <rowBreaks count="1" manualBreakCount="1">
    <brk id="5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ECA</vt:lpstr>
      <vt:lpstr>ECA!Área_de_impresión</vt:lpstr>
      <vt:lpstr>ECA!Títulos_a_imprimir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2021-03-05T14:59:42Z</cp:lastPrinted>
  <dcterms:created xsi:type="dcterms:W3CDTF">2016-02-17T13:19:12Z</dcterms:created>
  <dcterms:modified xsi:type="dcterms:W3CDTF">2022-02-17T19:41:51Z</dcterms:modified>
</cp:coreProperties>
</file>