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firstSheet="4" activeTab="5"/>
  </bookViews>
  <sheets>
    <sheet name="CC (1)" sheetId="60" r:id="rId1"/>
    <sheet name="CC (2)" sheetId="59" r:id="rId2"/>
    <sheet name="CC(3)" sheetId="37" r:id="rId3"/>
    <sheet name="EDAD (1)" sheetId="64" r:id="rId4"/>
    <sheet name="EDAD(2)" sheetId="26" r:id="rId5"/>
    <sheet name="EMCA (1)" sheetId="61" r:id="rId6"/>
    <sheet name="EMCA(2)" sheetId="24" r:id="rId7"/>
    <sheet name="ECA (1)" sheetId="62" r:id="rId8"/>
    <sheet name="ECA (2)" sheetId="63" r:id="rId9"/>
    <sheet name="ECA(3)" sheetId="25" r:id="rId10"/>
    <sheet name="INFO(1)" sheetId="56" r:id="rId11"/>
    <sheet name="INFO(2)" sheetId="21" r:id="rId12"/>
    <sheet name="AUTO (1)" sheetId="65" r:id="rId13"/>
    <sheet name="AUTO(2)" sheetId="27" r:id="rId14"/>
    <sheet name="MCA (1)" sheetId="66" r:id="rId15"/>
    <sheet name="MCA(2)" sheetId="28" r:id="rId16"/>
    <sheet name="QCA (1)" sheetId="57" r:id="rId17"/>
    <sheet name="QCA (2)" sheetId="68" r:id="rId18"/>
    <sheet name="QCA(3)" sheetId="67" r:id="rId19"/>
  </sheets>
  <definedNames>
    <definedName name="_xlnm.Print_Titles" localSheetId="12">'AUTO (1)'!$1:$8</definedName>
    <definedName name="_xlnm.Print_Titles" localSheetId="13">'AUTO(2)'!$1:$8</definedName>
    <definedName name="_xlnm.Print_Titles" localSheetId="0">'CC (1)'!$1:$8</definedName>
    <definedName name="_xlnm.Print_Titles" localSheetId="1">'CC (2)'!$1:$8</definedName>
    <definedName name="_xlnm.Print_Titles" localSheetId="2">'CC(3)'!$1:$8</definedName>
    <definedName name="_xlnm.Print_Titles" localSheetId="7">'ECA (1)'!$1:$8</definedName>
    <definedName name="_xlnm.Print_Titles" localSheetId="8">'ECA (2)'!$1:$8</definedName>
    <definedName name="_xlnm.Print_Titles" localSheetId="9">'ECA(3)'!$1:$8</definedName>
    <definedName name="_xlnm.Print_Titles" localSheetId="3">'EDAD (1)'!$1:$8</definedName>
    <definedName name="_xlnm.Print_Titles" localSheetId="4">'EDAD(2)'!$1:$8</definedName>
    <definedName name="_xlnm.Print_Titles" localSheetId="5">'EMCA (1)'!$1:$8</definedName>
    <definedName name="_xlnm.Print_Titles" localSheetId="6">'EMCA(2)'!$1:$8</definedName>
    <definedName name="_xlnm.Print_Titles" localSheetId="10">'INFO(1)'!$1:$8</definedName>
    <definedName name="_xlnm.Print_Titles" localSheetId="11">'INFO(2)'!$1:$8</definedName>
    <definedName name="_xlnm.Print_Titles" localSheetId="14">'MCA (1)'!$1:$8</definedName>
    <definedName name="_xlnm.Print_Titles" localSheetId="15">'MCA(2)'!$1:$8</definedName>
    <definedName name="_xlnm.Print_Titles" localSheetId="16">'QCA (1)'!$1:$8</definedName>
    <definedName name="_xlnm.Print_Titles" localSheetId="17">'QCA (2)'!$1:$8</definedName>
    <definedName name="_xlnm.Print_Titles" localSheetId="18">'QCA(3)'!$1:$8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K34" i="24" l="1"/>
  <c r="H34" i="24"/>
  <c r="L34" i="24" s="1"/>
  <c r="K34" i="61"/>
  <c r="H34" i="61"/>
  <c r="K10" i="67" l="1"/>
  <c r="H10" i="67"/>
  <c r="L10" i="67" s="1"/>
  <c r="K18" i="67"/>
  <c r="H18" i="67"/>
  <c r="L18" i="67" s="1"/>
  <c r="K35" i="67"/>
  <c r="H35" i="67"/>
  <c r="L35" i="67" s="1"/>
  <c r="K21" i="67"/>
  <c r="H21" i="67"/>
  <c r="L21" i="67" s="1"/>
  <c r="K24" i="67"/>
  <c r="H24" i="67"/>
  <c r="L24" i="67" s="1"/>
  <c r="K26" i="67"/>
  <c r="H26" i="67"/>
  <c r="L26" i="67" s="1"/>
  <c r="K14" i="67"/>
  <c r="H14" i="67"/>
  <c r="L14" i="67" s="1"/>
  <c r="K15" i="67"/>
  <c r="H15" i="67"/>
  <c r="L15" i="67" s="1"/>
  <c r="K33" i="67"/>
  <c r="H33" i="67"/>
  <c r="L33" i="67" s="1"/>
  <c r="K9" i="67"/>
  <c r="H9" i="67"/>
  <c r="L9" i="67" s="1"/>
  <c r="K23" i="67"/>
  <c r="H23" i="67"/>
  <c r="L23" i="67" s="1"/>
  <c r="K25" i="67"/>
  <c r="H25" i="67"/>
  <c r="L25" i="67" s="1"/>
  <c r="K12" i="67"/>
  <c r="H12" i="67"/>
  <c r="L12" i="67" s="1"/>
  <c r="K30" i="67"/>
  <c r="H30" i="67"/>
  <c r="L30" i="67" s="1"/>
  <c r="K22" i="67"/>
  <c r="H22" i="67"/>
  <c r="L22" i="67" s="1"/>
  <c r="K36" i="67"/>
  <c r="H36" i="67"/>
  <c r="L36" i="67" s="1"/>
  <c r="K19" i="67"/>
  <c r="H19" i="67"/>
  <c r="L19" i="67" s="1"/>
  <c r="K17" i="67"/>
  <c r="H17" i="67"/>
  <c r="L17" i="67" s="1"/>
  <c r="K11" i="67"/>
  <c r="H11" i="67"/>
  <c r="L11" i="67" s="1"/>
  <c r="K31" i="67"/>
  <c r="H31" i="67"/>
  <c r="L31" i="67" s="1"/>
  <c r="K28" i="67"/>
  <c r="H28" i="67"/>
  <c r="L28" i="67" s="1"/>
  <c r="K16" i="67"/>
  <c r="H16" i="67"/>
  <c r="L16" i="67" s="1"/>
  <c r="K32" i="67"/>
  <c r="H32" i="67"/>
  <c r="L32" i="67" s="1"/>
  <c r="K27" i="67"/>
  <c r="H27" i="67"/>
  <c r="L27" i="67" s="1"/>
  <c r="K20" i="67"/>
  <c r="H20" i="67"/>
  <c r="L20" i="67" s="1"/>
  <c r="K34" i="67"/>
  <c r="H34" i="67"/>
  <c r="L34" i="67" s="1"/>
  <c r="K13" i="67"/>
  <c r="H13" i="67"/>
  <c r="L13" i="67" s="1"/>
  <c r="K29" i="67"/>
  <c r="H29" i="67"/>
  <c r="L29" i="67" s="1"/>
  <c r="K20" i="68"/>
  <c r="H20" i="68"/>
  <c r="L20" i="68" s="1"/>
  <c r="K36" i="68"/>
  <c r="H36" i="68"/>
  <c r="L36" i="68" s="1"/>
  <c r="K10" i="68"/>
  <c r="H10" i="68"/>
  <c r="L10" i="68" s="1"/>
  <c r="K29" i="68"/>
  <c r="H29" i="68"/>
  <c r="L29" i="68" s="1"/>
  <c r="K32" i="68"/>
  <c r="H32" i="68"/>
  <c r="L32" i="68" s="1"/>
  <c r="K27" i="68"/>
  <c r="H27" i="68"/>
  <c r="L27" i="68" s="1"/>
  <c r="K17" i="68"/>
  <c r="H17" i="68"/>
  <c r="L17" i="68" s="1"/>
  <c r="K9" i="68"/>
  <c r="H9" i="68"/>
  <c r="L9" i="68" s="1"/>
  <c r="K21" i="68"/>
  <c r="H21" i="68"/>
  <c r="L21" i="68" s="1"/>
  <c r="K25" i="68"/>
  <c r="H25" i="68"/>
  <c r="L25" i="68" s="1"/>
  <c r="K19" i="68"/>
  <c r="H19" i="68"/>
  <c r="L19" i="68" s="1"/>
  <c r="K14" i="68"/>
  <c r="H14" i="68"/>
  <c r="L14" i="68" s="1"/>
  <c r="K23" i="68"/>
  <c r="H23" i="68"/>
  <c r="L23" i="68" s="1"/>
  <c r="K31" i="68"/>
  <c r="H31" i="68"/>
  <c r="L31" i="68" s="1"/>
  <c r="K24" i="68"/>
  <c r="H24" i="68"/>
  <c r="L24" i="68" s="1"/>
  <c r="K16" i="68"/>
  <c r="H16" i="68"/>
  <c r="L16" i="68" s="1"/>
  <c r="K13" i="68"/>
  <c r="H13" i="68"/>
  <c r="L13" i="68" s="1"/>
  <c r="K33" i="68"/>
  <c r="H33" i="68"/>
  <c r="L33" i="68" s="1"/>
  <c r="K18" i="68"/>
  <c r="H18" i="68"/>
  <c r="L18" i="68" s="1"/>
  <c r="K35" i="68"/>
  <c r="H35" i="68"/>
  <c r="L35" i="68" s="1"/>
  <c r="K28" i="68"/>
  <c r="H28" i="68"/>
  <c r="L28" i="68" s="1"/>
  <c r="K22" i="68"/>
  <c r="H22" i="68"/>
  <c r="L22" i="68" s="1"/>
  <c r="K15" i="68"/>
  <c r="H15" i="68"/>
  <c r="L15" i="68" s="1"/>
  <c r="K11" i="68"/>
  <c r="H11" i="68"/>
  <c r="L11" i="68" s="1"/>
  <c r="K26" i="68"/>
  <c r="H26" i="68"/>
  <c r="L26" i="68" s="1"/>
  <c r="K34" i="68"/>
  <c r="H34" i="68"/>
  <c r="L34" i="68" s="1"/>
  <c r="K30" i="68"/>
  <c r="H30" i="68"/>
  <c r="L30" i="68" s="1"/>
  <c r="K12" i="68"/>
  <c r="H12" i="68"/>
  <c r="L12" i="68" s="1"/>
  <c r="K15" i="57"/>
  <c r="H15" i="57"/>
  <c r="L15" i="57" s="1"/>
  <c r="K32" i="57"/>
  <c r="H32" i="57"/>
  <c r="L32" i="57" s="1"/>
  <c r="K11" i="57"/>
  <c r="H11" i="57"/>
  <c r="L11" i="57" s="1"/>
  <c r="K26" i="57"/>
  <c r="H26" i="57"/>
  <c r="L26" i="57" s="1"/>
  <c r="K36" i="57"/>
  <c r="H36" i="57"/>
  <c r="L36" i="57" s="1"/>
  <c r="K17" i="57"/>
  <c r="H17" i="57"/>
  <c r="L17" i="57" s="1"/>
  <c r="K25" i="57"/>
  <c r="H25" i="57"/>
  <c r="L25" i="57" s="1"/>
  <c r="K23" i="57"/>
  <c r="H23" i="57"/>
  <c r="L23" i="57" s="1"/>
  <c r="K27" i="57"/>
  <c r="H27" i="57"/>
  <c r="L27" i="57" s="1"/>
  <c r="K29" i="57"/>
  <c r="H29" i="57"/>
  <c r="L29" i="57" s="1"/>
  <c r="K20" i="57"/>
  <c r="H20" i="57"/>
  <c r="L20" i="57" s="1"/>
  <c r="K10" i="57"/>
  <c r="H10" i="57"/>
  <c r="L10" i="57" s="1"/>
  <c r="K21" i="57"/>
  <c r="H21" i="57"/>
  <c r="L21" i="57" s="1"/>
  <c r="K28" i="57"/>
  <c r="H28" i="57"/>
  <c r="L28" i="57" s="1"/>
  <c r="K14" i="57"/>
  <c r="H14" i="57"/>
  <c r="L14" i="57" s="1"/>
  <c r="K12" i="57"/>
  <c r="H12" i="57"/>
  <c r="L12" i="57" s="1"/>
  <c r="K9" i="57"/>
  <c r="H9" i="57"/>
  <c r="L9" i="57" s="1"/>
  <c r="K24" i="57"/>
  <c r="H24" i="57"/>
  <c r="L24" i="57" s="1"/>
  <c r="K22" i="57"/>
  <c r="H22" i="57"/>
  <c r="L22" i="57" s="1"/>
  <c r="K31" i="57"/>
  <c r="H31" i="57"/>
  <c r="L31" i="57" s="1"/>
  <c r="K18" i="57"/>
  <c r="H18" i="57"/>
  <c r="L18" i="57" s="1"/>
  <c r="K16" i="57"/>
  <c r="H16" i="57"/>
  <c r="L16" i="57" s="1"/>
  <c r="K13" i="57"/>
  <c r="H13" i="57"/>
  <c r="L13" i="57" s="1"/>
  <c r="K35" i="57"/>
  <c r="H35" i="57"/>
  <c r="L35" i="57" s="1"/>
  <c r="K19" i="57"/>
  <c r="H19" i="57"/>
  <c r="L19" i="57" s="1"/>
  <c r="K34" i="57"/>
  <c r="H34" i="57"/>
  <c r="L34" i="57" s="1"/>
  <c r="K33" i="57"/>
  <c r="H33" i="57"/>
  <c r="L33" i="57" s="1"/>
  <c r="K30" i="57"/>
  <c r="H30" i="57"/>
  <c r="L30" i="57" s="1"/>
  <c r="K35" i="28"/>
  <c r="H35" i="28"/>
  <c r="L35" i="28" s="1"/>
  <c r="K28" i="28"/>
  <c r="H28" i="28"/>
  <c r="L28" i="28" s="1"/>
  <c r="K12" i="28"/>
  <c r="H12" i="28"/>
  <c r="L12" i="28" s="1"/>
  <c r="K13" i="28"/>
  <c r="H13" i="28"/>
  <c r="L13" i="28" s="1"/>
  <c r="K19" i="28"/>
  <c r="H19" i="28"/>
  <c r="L19" i="28" s="1"/>
  <c r="K10" i="28"/>
  <c r="H10" i="28"/>
  <c r="L10" i="28" s="1"/>
  <c r="K15" i="28"/>
  <c r="H15" i="28"/>
  <c r="L15" i="28" s="1"/>
  <c r="K33" i="28"/>
  <c r="H33" i="28"/>
  <c r="L33" i="28" s="1"/>
  <c r="K16" i="28"/>
  <c r="H16" i="28"/>
  <c r="L16" i="28" s="1"/>
  <c r="K32" i="28"/>
  <c r="H32" i="28"/>
  <c r="L32" i="28" s="1"/>
  <c r="K11" i="28"/>
  <c r="H11" i="28"/>
  <c r="L11" i="28" s="1"/>
  <c r="K30" i="28"/>
  <c r="H30" i="28"/>
  <c r="L30" i="28" s="1"/>
  <c r="K24" i="28"/>
  <c r="H24" i="28"/>
  <c r="L24" i="28" s="1"/>
  <c r="K9" i="28"/>
  <c r="H9" i="28"/>
  <c r="L9" i="28" s="1"/>
  <c r="K34" i="28"/>
  <c r="H34" i="28"/>
  <c r="L34" i="28" s="1"/>
  <c r="K31" i="28"/>
  <c r="H31" i="28"/>
  <c r="L31" i="28" s="1"/>
  <c r="K25" i="28"/>
  <c r="H25" i="28"/>
  <c r="L25" i="28" s="1"/>
  <c r="K18" i="28"/>
  <c r="H18" i="28"/>
  <c r="L18" i="28" s="1"/>
  <c r="K27" i="28"/>
  <c r="H27" i="28"/>
  <c r="L27" i="28" s="1"/>
  <c r="K14" i="28"/>
  <c r="H14" i="28"/>
  <c r="L14" i="28" s="1"/>
  <c r="K29" i="28"/>
  <c r="H29" i="28"/>
  <c r="L29" i="28" s="1"/>
  <c r="K17" i="28"/>
  <c r="H17" i="28"/>
  <c r="L17" i="28" s="1"/>
  <c r="K20" i="28"/>
  <c r="H20" i="28"/>
  <c r="L20" i="28" s="1"/>
  <c r="K23" i="28"/>
  <c r="H23" i="28"/>
  <c r="L23" i="28" s="1"/>
  <c r="K21" i="28"/>
  <c r="H21" i="28"/>
  <c r="L21" i="28" s="1"/>
  <c r="K22" i="28"/>
  <c r="H22" i="28"/>
  <c r="L22" i="28" s="1"/>
  <c r="K26" i="28"/>
  <c r="H26" i="28"/>
  <c r="L26" i="28" s="1"/>
  <c r="K36" i="28"/>
  <c r="H36" i="28"/>
  <c r="L36" i="28" s="1"/>
  <c r="K9" i="66"/>
  <c r="H9" i="66"/>
  <c r="L9" i="66" s="1"/>
  <c r="K11" i="66"/>
  <c r="H11" i="66"/>
  <c r="L11" i="66" s="1"/>
  <c r="K24" i="66"/>
  <c r="H24" i="66"/>
  <c r="L24" i="66" s="1"/>
  <c r="K28" i="66"/>
  <c r="H28" i="66"/>
  <c r="L28" i="66" s="1"/>
  <c r="K13" i="66"/>
  <c r="H13" i="66"/>
  <c r="L13" i="66" s="1"/>
  <c r="K27" i="66"/>
  <c r="H27" i="66"/>
  <c r="L27" i="66" s="1"/>
  <c r="K21" i="66"/>
  <c r="H21" i="66"/>
  <c r="L21" i="66" s="1"/>
  <c r="K18" i="66"/>
  <c r="H18" i="66"/>
  <c r="L18" i="66" s="1"/>
  <c r="K15" i="66"/>
  <c r="H15" i="66"/>
  <c r="L15" i="66" s="1"/>
  <c r="K26" i="66"/>
  <c r="H26" i="66"/>
  <c r="L26" i="66" s="1"/>
  <c r="K23" i="66"/>
  <c r="H23" i="66"/>
  <c r="L23" i="66" s="1"/>
  <c r="K20" i="66"/>
  <c r="H20" i="66"/>
  <c r="L20" i="66" s="1"/>
  <c r="K33" i="66"/>
  <c r="H33" i="66"/>
  <c r="L33" i="66" s="1"/>
  <c r="K16" i="66"/>
  <c r="H16" i="66"/>
  <c r="L16" i="66" s="1"/>
  <c r="K25" i="66"/>
  <c r="H25" i="66"/>
  <c r="L25" i="66" s="1"/>
  <c r="K34" i="66"/>
  <c r="H34" i="66"/>
  <c r="L34" i="66" s="1"/>
  <c r="K30" i="66"/>
  <c r="H30" i="66"/>
  <c r="L30" i="66" s="1"/>
  <c r="K35" i="66"/>
  <c r="H35" i="66"/>
  <c r="L35" i="66" s="1"/>
  <c r="K29" i="66"/>
  <c r="H29" i="66"/>
  <c r="L29" i="66" s="1"/>
  <c r="K22" i="66"/>
  <c r="H22" i="66"/>
  <c r="L22" i="66" s="1"/>
  <c r="K12" i="66"/>
  <c r="H12" i="66"/>
  <c r="L12" i="66" s="1"/>
  <c r="K17" i="66"/>
  <c r="H17" i="66"/>
  <c r="L17" i="66" s="1"/>
  <c r="K31" i="66"/>
  <c r="H31" i="66"/>
  <c r="L31" i="66" s="1"/>
  <c r="K19" i="66"/>
  <c r="H19" i="66"/>
  <c r="L19" i="66" s="1"/>
  <c r="K14" i="66"/>
  <c r="H14" i="66"/>
  <c r="L14" i="66" s="1"/>
  <c r="K36" i="66"/>
  <c r="H36" i="66"/>
  <c r="L36" i="66" s="1"/>
  <c r="K10" i="66"/>
  <c r="H10" i="66"/>
  <c r="L10" i="66" s="1"/>
  <c r="K32" i="66"/>
  <c r="H32" i="66"/>
  <c r="L32" i="66" s="1"/>
  <c r="K32" i="27"/>
  <c r="H32" i="27"/>
  <c r="L32" i="27" s="1"/>
  <c r="K22" i="27"/>
  <c r="H22" i="27"/>
  <c r="L22" i="27" s="1"/>
  <c r="K36" i="27"/>
  <c r="H36" i="27"/>
  <c r="L36" i="27" s="1"/>
  <c r="K9" i="27"/>
  <c r="H9" i="27"/>
  <c r="L9" i="27" s="1"/>
  <c r="K16" i="27"/>
  <c r="H16" i="27"/>
  <c r="L16" i="27" s="1"/>
  <c r="K17" i="27"/>
  <c r="H17" i="27"/>
  <c r="L17" i="27" s="1"/>
  <c r="K14" i="27"/>
  <c r="H14" i="27"/>
  <c r="L14" i="27" s="1"/>
  <c r="K25" i="27"/>
  <c r="H25" i="27"/>
  <c r="L25" i="27" s="1"/>
  <c r="K21" i="27"/>
  <c r="H21" i="27"/>
  <c r="L21" i="27" s="1"/>
  <c r="K33" i="27"/>
  <c r="H33" i="27"/>
  <c r="L33" i="27" s="1"/>
  <c r="K27" i="27"/>
  <c r="H27" i="27"/>
  <c r="L27" i="27" s="1"/>
  <c r="K15" i="27"/>
  <c r="H15" i="27"/>
  <c r="L15" i="27" s="1"/>
  <c r="K34" i="27"/>
  <c r="H34" i="27"/>
  <c r="L34" i="27" s="1"/>
  <c r="K13" i="27"/>
  <c r="H13" i="27"/>
  <c r="L13" i="27" s="1"/>
  <c r="K35" i="27"/>
  <c r="H35" i="27"/>
  <c r="L35" i="27" s="1"/>
  <c r="K31" i="27"/>
  <c r="H31" i="27"/>
  <c r="L31" i="27" s="1"/>
  <c r="K19" i="27"/>
  <c r="H19" i="27"/>
  <c r="L19" i="27" s="1"/>
  <c r="K12" i="27"/>
  <c r="H12" i="27"/>
  <c r="L12" i="27" s="1"/>
  <c r="K23" i="27"/>
  <c r="H23" i="27"/>
  <c r="L23" i="27" s="1"/>
  <c r="K10" i="27"/>
  <c r="H10" i="27"/>
  <c r="L10" i="27" s="1"/>
  <c r="K29" i="27"/>
  <c r="H29" i="27"/>
  <c r="L29" i="27" s="1"/>
  <c r="K20" i="27"/>
  <c r="H20" i="27"/>
  <c r="L20" i="27" s="1"/>
  <c r="K30" i="27"/>
  <c r="H30" i="27"/>
  <c r="L30" i="27" s="1"/>
  <c r="K28" i="27"/>
  <c r="H28" i="27"/>
  <c r="L28" i="27" s="1"/>
  <c r="K24" i="27"/>
  <c r="H24" i="27"/>
  <c r="L24" i="27" s="1"/>
  <c r="K11" i="27"/>
  <c r="H11" i="27"/>
  <c r="L11" i="27" s="1"/>
  <c r="K26" i="27"/>
  <c r="H26" i="27"/>
  <c r="L26" i="27" s="1"/>
  <c r="K18" i="27"/>
  <c r="H18" i="27"/>
  <c r="L18" i="27" s="1"/>
  <c r="K32" i="65"/>
  <c r="H32" i="65"/>
  <c r="L32" i="65" s="1"/>
  <c r="K34" i="65"/>
  <c r="H34" i="65"/>
  <c r="L34" i="65" s="1"/>
  <c r="K21" i="65"/>
  <c r="H21" i="65"/>
  <c r="L21" i="65" s="1"/>
  <c r="K23" i="65"/>
  <c r="H23" i="65"/>
  <c r="L23" i="65" s="1"/>
  <c r="K20" i="65"/>
  <c r="H20" i="65"/>
  <c r="L20" i="65" s="1"/>
  <c r="K27" i="65"/>
  <c r="H27" i="65"/>
  <c r="L27" i="65" s="1"/>
  <c r="K29" i="65"/>
  <c r="H29" i="65"/>
  <c r="L29" i="65" s="1"/>
  <c r="K35" i="65"/>
  <c r="H35" i="65"/>
  <c r="L35" i="65" s="1"/>
  <c r="K13" i="65"/>
  <c r="H13" i="65"/>
  <c r="L13" i="65" s="1"/>
  <c r="K11" i="65"/>
  <c r="H11" i="65"/>
  <c r="L11" i="65" s="1"/>
  <c r="K28" i="65"/>
  <c r="H28" i="65"/>
  <c r="L28" i="65" s="1"/>
  <c r="K22" i="65"/>
  <c r="H22" i="65"/>
  <c r="L22" i="65" s="1"/>
  <c r="K24" i="65"/>
  <c r="H24" i="65"/>
  <c r="L24" i="65" s="1"/>
  <c r="K9" i="65"/>
  <c r="H9" i="65"/>
  <c r="L9" i="65" s="1"/>
  <c r="K31" i="65"/>
  <c r="H31" i="65"/>
  <c r="L31" i="65" s="1"/>
  <c r="K12" i="65"/>
  <c r="H12" i="65"/>
  <c r="L12" i="65" s="1"/>
  <c r="K33" i="65"/>
  <c r="H33" i="65"/>
  <c r="L33" i="65" s="1"/>
  <c r="K17" i="65"/>
  <c r="H17" i="65"/>
  <c r="L17" i="65" s="1"/>
  <c r="K26" i="65"/>
  <c r="H26" i="65"/>
  <c r="L26" i="65" s="1"/>
  <c r="K16" i="65"/>
  <c r="H16" i="65"/>
  <c r="L16" i="65" s="1"/>
  <c r="K25" i="65"/>
  <c r="H25" i="65"/>
  <c r="L25" i="65" s="1"/>
  <c r="K14" i="65"/>
  <c r="H14" i="65"/>
  <c r="L14" i="65" s="1"/>
  <c r="K18" i="65"/>
  <c r="H18" i="65"/>
  <c r="L18" i="65" s="1"/>
  <c r="K30" i="65"/>
  <c r="H30" i="65"/>
  <c r="L30" i="65" s="1"/>
  <c r="K15" i="65"/>
  <c r="H15" i="65"/>
  <c r="L15" i="65" s="1"/>
  <c r="K10" i="65"/>
  <c r="H10" i="65"/>
  <c r="L10" i="65" s="1"/>
  <c r="K19" i="65"/>
  <c r="H19" i="65"/>
  <c r="L19" i="65" s="1"/>
  <c r="K36" i="65"/>
  <c r="H36" i="65"/>
  <c r="L36" i="65" s="1"/>
  <c r="K23" i="21"/>
  <c r="H23" i="21"/>
  <c r="L23" i="21" s="1"/>
  <c r="K25" i="21"/>
  <c r="H25" i="21"/>
  <c r="L25" i="21" s="1"/>
  <c r="K19" i="21"/>
  <c r="H19" i="21"/>
  <c r="L19" i="21" s="1"/>
  <c r="K9" i="21"/>
  <c r="H9" i="21"/>
  <c r="L9" i="21" s="1"/>
  <c r="K21" i="21"/>
  <c r="H21" i="21"/>
  <c r="L21" i="21" s="1"/>
  <c r="K20" i="21"/>
  <c r="H20" i="21"/>
  <c r="L20" i="21" s="1"/>
  <c r="K13" i="21"/>
  <c r="H13" i="21"/>
  <c r="L13" i="21" s="1"/>
  <c r="K12" i="21"/>
  <c r="H12" i="21"/>
  <c r="L12" i="21" s="1"/>
  <c r="K30" i="21"/>
  <c r="H30" i="21"/>
  <c r="L30" i="21" s="1"/>
  <c r="K17" i="21"/>
  <c r="H17" i="21"/>
  <c r="L17" i="21" s="1"/>
  <c r="K11" i="21"/>
  <c r="H11" i="21"/>
  <c r="L11" i="21" s="1"/>
  <c r="K31" i="21"/>
  <c r="H31" i="21"/>
  <c r="L31" i="21" s="1"/>
  <c r="K29" i="21"/>
  <c r="H29" i="21"/>
  <c r="L29" i="21" s="1"/>
  <c r="K26" i="21"/>
  <c r="H26" i="21"/>
  <c r="L26" i="21" s="1"/>
  <c r="K14" i="21"/>
  <c r="H14" i="21"/>
  <c r="L14" i="21" s="1"/>
  <c r="K32" i="21"/>
  <c r="H32" i="21"/>
  <c r="L32" i="21" s="1"/>
  <c r="K28" i="21"/>
  <c r="H28" i="21"/>
  <c r="L28" i="21" s="1"/>
  <c r="K15" i="21"/>
  <c r="H15" i="21"/>
  <c r="L15" i="21" s="1"/>
  <c r="K36" i="21"/>
  <c r="H36" i="21"/>
  <c r="L36" i="21" s="1"/>
  <c r="K10" i="21"/>
  <c r="H10" i="21"/>
  <c r="L10" i="21" s="1"/>
  <c r="K35" i="21"/>
  <c r="H35" i="21"/>
  <c r="L35" i="21" s="1"/>
  <c r="K24" i="21"/>
  <c r="H24" i="21"/>
  <c r="L24" i="21" s="1"/>
  <c r="K34" i="21"/>
  <c r="H34" i="21"/>
  <c r="L34" i="21" s="1"/>
  <c r="K22" i="21"/>
  <c r="H22" i="21"/>
  <c r="L22" i="21" s="1"/>
  <c r="K33" i="21"/>
  <c r="H33" i="21"/>
  <c r="L33" i="21" s="1"/>
  <c r="K18" i="21"/>
  <c r="H18" i="21"/>
  <c r="L18" i="21" s="1"/>
  <c r="K27" i="21"/>
  <c r="H27" i="21"/>
  <c r="L27" i="21" s="1"/>
  <c r="K16" i="21"/>
  <c r="H16" i="21"/>
  <c r="L16" i="21" s="1"/>
  <c r="K27" i="56"/>
  <c r="H27" i="56"/>
  <c r="L27" i="56" s="1"/>
  <c r="K10" i="56"/>
  <c r="H10" i="56"/>
  <c r="L10" i="56" s="1"/>
  <c r="K20" i="56"/>
  <c r="H20" i="56"/>
  <c r="L20" i="56" s="1"/>
  <c r="K11" i="56"/>
  <c r="H11" i="56"/>
  <c r="L11" i="56" s="1"/>
  <c r="K17" i="56"/>
  <c r="H17" i="56"/>
  <c r="L17" i="56" s="1"/>
  <c r="K35" i="56"/>
  <c r="H35" i="56"/>
  <c r="L35" i="56" s="1"/>
  <c r="K25" i="56"/>
  <c r="H25" i="56"/>
  <c r="L25" i="56" s="1"/>
  <c r="K23" i="56"/>
  <c r="H23" i="56"/>
  <c r="L23" i="56" s="1"/>
  <c r="K19" i="56"/>
  <c r="H19" i="56"/>
  <c r="L19" i="56" s="1"/>
  <c r="K26" i="56"/>
  <c r="H26" i="56"/>
  <c r="L26" i="56" s="1"/>
  <c r="K31" i="56"/>
  <c r="H31" i="56"/>
  <c r="L31" i="56" s="1"/>
  <c r="K32" i="56"/>
  <c r="H32" i="56"/>
  <c r="L32" i="56" s="1"/>
  <c r="K12" i="56"/>
  <c r="H12" i="56"/>
  <c r="L12" i="56" s="1"/>
  <c r="K29" i="56"/>
  <c r="H29" i="56"/>
  <c r="L29" i="56" s="1"/>
  <c r="K24" i="56"/>
  <c r="H24" i="56"/>
  <c r="L24" i="56" s="1"/>
  <c r="K33" i="56"/>
  <c r="H33" i="56"/>
  <c r="L33" i="56" s="1"/>
  <c r="K30" i="56"/>
  <c r="H30" i="56"/>
  <c r="L30" i="56" s="1"/>
  <c r="K28" i="56"/>
  <c r="H28" i="56"/>
  <c r="L28" i="56" s="1"/>
  <c r="K15" i="56"/>
  <c r="H15" i="56"/>
  <c r="L15" i="56" s="1"/>
  <c r="K18" i="56"/>
  <c r="H18" i="56"/>
  <c r="L18" i="56" s="1"/>
  <c r="K16" i="56"/>
  <c r="H16" i="56"/>
  <c r="L16" i="56" s="1"/>
  <c r="K34" i="56"/>
  <c r="H34" i="56"/>
  <c r="L34" i="56" s="1"/>
  <c r="K14" i="56"/>
  <c r="H14" i="56"/>
  <c r="L14" i="56" s="1"/>
  <c r="K9" i="56"/>
  <c r="H9" i="56"/>
  <c r="L9" i="56" s="1"/>
  <c r="K13" i="56"/>
  <c r="H13" i="56"/>
  <c r="L13" i="56" s="1"/>
  <c r="K36" i="56"/>
  <c r="H36" i="56"/>
  <c r="L36" i="56" s="1"/>
  <c r="K21" i="56"/>
  <c r="H21" i="56"/>
  <c r="L21" i="56" s="1"/>
  <c r="K22" i="56"/>
  <c r="H22" i="56"/>
  <c r="L22" i="56" s="1"/>
  <c r="K32" i="25"/>
  <c r="H32" i="25"/>
  <c r="L32" i="25" s="1"/>
  <c r="K26" i="25"/>
  <c r="H26" i="25"/>
  <c r="K12" i="25"/>
  <c r="H12" i="25"/>
  <c r="L12" i="25" s="1"/>
  <c r="K20" i="25"/>
  <c r="H20" i="25"/>
  <c r="K31" i="25"/>
  <c r="H31" i="25"/>
  <c r="L31" i="25" s="1"/>
  <c r="K15" i="25"/>
  <c r="H15" i="25"/>
  <c r="K36" i="25"/>
  <c r="H36" i="25"/>
  <c r="L36" i="25" s="1"/>
  <c r="K17" i="25"/>
  <c r="H17" i="25"/>
  <c r="K18" i="25"/>
  <c r="H18" i="25"/>
  <c r="L18" i="25" s="1"/>
  <c r="K9" i="25"/>
  <c r="H9" i="25"/>
  <c r="K30" i="25"/>
  <c r="H30" i="25"/>
  <c r="L30" i="25" s="1"/>
  <c r="K14" i="25"/>
  <c r="H14" i="25"/>
  <c r="K16" i="25"/>
  <c r="H16" i="25"/>
  <c r="L16" i="25" s="1"/>
  <c r="K28" i="25"/>
  <c r="H28" i="25"/>
  <c r="K21" i="25"/>
  <c r="H21" i="25"/>
  <c r="L21" i="25" s="1"/>
  <c r="K13" i="25"/>
  <c r="H13" i="25"/>
  <c r="K11" i="25"/>
  <c r="H11" i="25"/>
  <c r="L11" i="25" s="1"/>
  <c r="K27" i="25"/>
  <c r="H27" i="25"/>
  <c r="K22" i="25"/>
  <c r="H22" i="25"/>
  <c r="L22" i="25" s="1"/>
  <c r="K23" i="25"/>
  <c r="H23" i="25"/>
  <c r="K10" i="25"/>
  <c r="H10" i="25"/>
  <c r="L10" i="25" s="1"/>
  <c r="K19" i="25"/>
  <c r="H19" i="25"/>
  <c r="K29" i="25"/>
  <c r="H29" i="25"/>
  <c r="L29" i="25" s="1"/>
  <c r="K24" i="25"/>
  <c r="H24" i="25"/>
  <c r="K35" i="25"/>
  <c r="H35" i="25"/>
  <c r="L35" i="25" s="1"/>
  <c r="K34" i="25"/>
  <c r="H34" i="25"/>
  <c r="K25" i="25"/>
  <c r="H25" i="25"/>
  <c r="L25" i="25" s="1"/>
  <c r="K33" i="25"/>
  <c r="H33" i="25"/>
  <c r="K21" i="63"/>
  <c r="H21" i="63"/>
  <c r="L21" i="63" s="1"/>
  <c r="K10" i="63"/>
  <c r="H10" i="63"/>
  <c r="L10" i="63" s="1"/>
  <c r="K36" i="63"/>
  <c r="H36" i="63"/>
  <c r="L36" i="63" s="1"/>
  <c r="K26" i="63"/>
  <c r="H26" i="63"/>
  <c r="L26" i="63" s="1"/>
  <c r="K33" i="63"/>
  <c r="H33" i="63"/>
  <c r="L33" i="63" s="1"/>
  <c r="K13" i="63"/>
  <c r="H13" i="63"/>
  <c r="L13" i="63" s="1"/>
  <c r="K34" i="63"/>
  <c r="H34" i="63"/>
  <c r="L34" i="63" s="1"/>
  <c r="K16" i="63"/>
  <c r="H16" i="63"/>
  <c r="L16" i="63" s="1"/>
  <c r="K23" i="63"/>
  <c r="H23" i="63"/>
  <c r="L23" i="63" s="1"/>
  <c r="K29" i="63"/>
  <c r="H29" i="63"/>
  <c r="L29" i="63" s="1"/>
  <c r="K30" i="63"/>
  <c r="H30" i="63"/>
  <c r="L30" i="63" s="1"/>
  <c r="K27" i="63"/>
  <c r="H27" i="63"/>
  <c r="L27" i="63" s="1"/>
  <c r="K22" i="63"/>
  <c r="H22" i="63"/>
  <c r="L22" i="63" s="1"/>
  <c r="K32" i="63"/>
  <c r="H32" i="63"/>
  <c r="L32" i="63" s="1"/>
  <c r="K28" i="63"/>
  <c r="H28" i="63"/>
  <c r="L28" i="63" s="1"/>
  <c r="K15" i="63"/>
  <c r="H15" i="63"/>
  <c r="L15" i="63" s="1"/>
  <c r="K25" i="63"/>
  <c r="H25" i="63"/>
  <c r="L25" i="63" s="1"/>
  <c r="K35" i="63"/>
  <c r="H35" i="63"/>
  <c r="L35" i="63" s="1"/>
  <c r="K20" i="63"/>
  <c r="H20" i="63"/>
  <c r="L20" i="63" s="1"/>
  <c r="K18" i="63"/>
  <c r="H18" i="63"/>
  <c r="L18" i="63" s="1"/>
  <c r="K24" i="63"/>
  <c r="H24" i="63"/>
  <c r="L24" i="63" s="1"/>
  <c r="K31" i="63"/>
  <c r="H31" i="63"/>
  <c r="L31" i="63" s="1"/>
  <c r="K19" i="63"/>
  <c r="H19" i="63"/>
  <c r="L19" i="63" s="1"/>
  <c r="K17" i="63"/>
  <c r="H17" i="63"/>
  <c r="L17" i="63" s="1"/>
  <c r="K14" i="63"/>
  <c r="H14" i="63"/>
  <c r="L14" i="63" s="1"/>
  <c r="K9" i="63"/>
  <c r="H9" i="63"/>
  <c r="L9" i="63" s="1"/>
  <c r="K12" i="63"/>
  <c r="H12" i="63"/>
  <c r="L12" i="63" s="1"/>
  <c r="K11" i="63"/>
  <c r="H11" i="63"/>
  <c r="L11" i="63" s="1"/>
  <c r="K36" i="62"/>
  <c r="H36" i="62"/>
  <c r="L36" i="62" s="1"/>
  <c r="K27" i="62"/>
  <c r="H27" i="62"/>
  <c r="L27" i="62" s="1"/>
  <c r="K12" i="62"/>
  <c r="H12" i="62"/>
  <c r="L12" i="62" s="1"/>
  <c r="K11" i="62"/>
  <c r="H11" i="62"/>
  <c r="L11" i="62" s="1"/>
  <c r="K20" i="62"/>
  <c r="H20" i="62"/>
  <c r="L20" i="62" s="1"/>
  <c r="K15" i="62"/>
  <c r="H15" i="62"/>
  <c r="L15" i="62" s="1"/>
  <c r="K32" i="62"/>
  <c r="H32" i="62"/>
  <c r="L32" i="62" s="1"/>
  <c r="K31" i="62"/>
  <c r="H31" i="62"/>
  <c r="L31" i="62" s="1"/>
  <c r="K13" i="62"/>
  <c r="H13" i="62"/>
  <c r="L13" i="62" s="1"/>
  <c r="K26" i="62"/>
  <c r="H26" i="62"/>
  <c r="L26" i="62" s="1"/>
  <c r="K29" i="62"/>
  <c r="H29" i="62"/>
  <c r="L29" i="62" s="1"/>
  <c r="K30" i="62"/>
  <c r="H30" i="62"/>
  <c r="L30" i="62" s="1"/>
  <c r="K22" i="62"/>
  <c r="H22" i="62"/>
  <c r="L22" i="62" s="1"/>
  <c r="K18" i="62"/>
  <c r="H18" i="62"/>
  <c r="L18" i="62" s="1"/>
  <c r="K10" i="62"/>
  <c r="H10" i="62"/>
  <c r="L10" i="62" s="1"/>
  <c r="K17" i="62"/>
  <c r="H17" i="62"/>
  <c r="L17" i="62" s="1"/>
  <c r="K21" i="62"/>
  <c r="H21" i="62"/>
  <c r="L21" i="62" s="1"/>
  <c r="K9" i="62"/>
  <c r="H9" i="62"/>
  <c r="L9" i="62" s="1"/>
  <c r="K23" i="62"/>
  <c r="H23" i="62"/>
  <c r="L23" i="62" s="1"/>
  <c r="K35" i="62"/>
  <c r="H35" i="62"/>
  <c r="L35" i="62" s="1"/>
  <c r="K33" i="62"/>
  <c r="H33" i="62"/>
  <c r="L33" i="62" s="1"/>
  <c r="K25" i="62"/>
  <c r="H25" i="62"/>
  <c r="L25" i="62" s="1"/>
  <c r="K16" i="62"/>
  <c r="H16" i="62"/>
  <c r="L16" i="62" s="1"/>
  <c r="K19" i="62"/>
  <c r="H19" i="62"/>
  <c r="L19" i="62" s="1"/>
  <c r="K34" i="62"/>
  <c r="H34" i="62"/>
  <c r="L34" i="62" s="1"/>
  <c r="K24" i="62"/>
  <c r="H24" i="62"/>
  <c r="L24" i="62" s="1"/>
  <c r="K14" i="62"/>
  <c r="H14" i="62"/>
  <c r="L14" i="62" s="1"/>
  <c r="K28" i="62"/>
  <c r="H28" i="62"/>
  <c r="L28" i="62" s="1"/>
  <c r="K25" i="24"/>
  <c r="H25" i="24"/>
  <c r="L25" i="24" s="1"/>
  <c r="K22" i="24"/>
  <c r="H22" i="24"/>
  <c r="L22" i="24" s="1"/>
  <c r="K12" i="24"/>
  <c r="H12" i="24"/>
  <c r="L12" i="24" s="1"/>
  <c r="K24" i="24"/>
  <c r="H24" i="24"/>
  <c r="L24" i="24" s="1"/>
  <c r="K20" i="24"/>
  <c r="H20" i="24"/>
  <c r="L20" i="24" s="1"/>
  <c r="K29" i="24"/>
  <c r="H29" i="24"/>
  <c r="L29" i="24" s="1"/>
  <c r="K36" i="24"/>
  <c r="H36" i="24"/>
  <c r="L36" i="24" s="1"/>
  <c r="K21" i="24"/>
  <c r="H21" i="24"/>
  <c r="L21" i="24" s="1"/>
  <c r="K28" i="24"/>
  <c r="H28" i="24"/>
  <c r="L28" i="24" s="1"/>
  <c r="K15" i="24"/>
  <c r="H15" i="24"/>
  <c r="L15" i="24" s="1"/>
  <c r="K30" i="24"/>
  <c r="H30" i="24"/>
  <c r="L30" i="24" s="1"/>
  <c r="K9" i="24"/>
  <c r="H9" i="24"/>
  <c r="L9" i="24" s="1"/>
  <c r="K26" i="24"/>
  <c r="H26" i="24"/>
  <c r="L26" i="24" s="1"/>
  <c r="K13" i="24"/>
  <c r="H13" i="24"/>
  <c r="L13" i="24" s="1"/>
  <c r="K32" i="24"/>
  <c r="H32" i="24"/>
  <c r="L32" i="24" s="1"/>
  <c r="K27" i="24"/>
  <c r="H27" i="24"/>
  <c r="L27" i="24" s="1"/>
  <c r="K14" i="24"/>
  <c r="H14" i="24"/>
  <c r="L14" i="24" s="1"/>
  <c r="K11" i="24"/>
  <c r="H11" i="24"/>
  <c r="L11" i="24" s="1"/>
  <c r="K16" i="24"/>
  <c r="H16" i="24"/>
  <c r="L16" i="24" s="1"/>
  <c r="K23" i="24"/>
  <c r="H23" i="24"/>
  <c r="L23" i="24" s="1"/>
  <c r="K19" i="24"/>
  <c r="H19" i="24"/>
  <c r="L19" i="24" s="1"/>
  <c r="K17" i="24"/>
  <c r="H17" i="24"/>
  <c r="L17" i="24" s="1"/>
  <c r="K33" i="24"/>
  <c r="H33" i="24"/>
  <c r="L33" i="24" s="1"/>
  <c r="K31" i="24"/>
  <c r="H31" i="24"/>
  <c r="L31" i="24" s="1"/>
  <c r="K18" i="24"/>
  <c r="H18" i="24"/>
  <c r="L18" i="24" s="1"/>
  <c r="K35" i="24"/>
  <c r="H35" i="24"/>
  <c r="L35" i="24" s="1"/>
  <c r="K10" i="24"/>
  <c r="H10" i="24"/>
  <c r="L10" i="24" s="1"/>
  <c r="K23" i="61"/>
  <c r="H23" i="61"/>
  <c r="L23" i="61" s="1"/>
  <c r="K19" i="61"/>
  <c r="H19" i="61"/>
  <c r="L19" i="61" s="1"/>
  <c r="K16" i="61"/>
  <c r="H16" i="61"/>
  <c r="L16" i="61" s="1"/>
  <c r="K33" i="61"/>
  <c r="H33" i="61"/>
  <c r="L34" i="61" s="1"/>
  <c r="K30" i="61"/>
  <c r="H30" i="61"/>
  <c r="K12" i="61"/>
  <c r="H12" i="61"/>
  <c r="L12" i="61" s="1"/>
  <c r="K24" i="61"/>
  <c r="H24" i="61"/>
  <c r="L24" i="61" s="1"/>
  <c r="K28" i="61"/>
  <c r="H28" i="61"/>
  <c r="K18" i="61"/>
  <c r="H18" i="61"/>
  <c r="L18" i="61" s="1"/>
  <c r="K36" i="61"/>
  <c r="H36" i="61"/>
  <c r="L36" i="61" s="1"/>
  <c r="K29" i="61"/>
  <c r="H29" i="61"/>
  <c r="L30" i="61" s="1"/>
  <c r="K9" i="61"/>
  <c r="H9" i="61"/>
  <c r="L9" i="61" s="1"/>
  <c r="K35" i="61"/>
  <c r="H35" i="61"/>
  <c r="L35" i="61" s="1"/>
  <c r="K20" i="61"/>
  <c r="H20" i="61"/>
  <c r="L20" i="61" s="1"/>
  <c r="K14" i="61"/>
  <c r="H14" i="61"/>
  <c r="L14" i="61" s="1"/>
  <c r="K10" i="61"/>
  <c r="H10" i="61"/>
  <c r="L10" i="61" s="1"/>
  <c r="K13" i="61"/>
  <c r="H13" i="61"/>
  <c r="L13" i="61" s="1"/>
  <c r="K11" i="61"/>
  <c r="H11" i="61"/>
  <c r="L11" i="61" s="1"/>
  <c r="K31" i="61"/>
  <c r="H31" i="61"/>
  <c r="K15" i="61"/>
  <c r="H15" i="61"/>
  <c r="L15" i="61" s="1"/>
  <c r="K17" i="61"/>
  <c r="H17" i="61"/>
  <c r="L17" i="61" s="1"/>
  <c r="K26" i="61"/>
  <c r="H26" i="61"/>
  <c r="K21" i="61"/>
  <c r="H21" i="61"/>
  <c r="L21" i="61" s="1"/>
  <c r="K27" i="61"/>
  <c r="H27" i="61"/>
  <c r="L28" i="61" s="1"/>
  <c r="K32" i="61"/>
  <c r="H32" i="61"/>
  <c r="L33" i="61" s="1"/>
  <c r="K25" i="61"/>
  <c r="H25" i="61"/>
  <c r="L26" i="61" s="1"/>
  <c r="K22" i="61"/>
  <c r="H22" i="61"/>
  <c r="L22" i="61" s="1"/>
  <c r="K36" i="26"/>
  <c r="H36" i="26"/>
  <c r="L36" i="26" s="1"/>
  <c r="K17" i="26"/>
  <c r="H17" i="26"/>
  <c r="L17" i="26" s="1"/>
  <c r="K10" i="26"/>
  <c r="H10" i="26"/>
  <c r="L10" i="26" s="1"/>
  <c r="K20" i="26"/>
  <c r="H20" i="26"/>
  <c r="L20" i="26" s="1"/>
  <c r="K24" i="26"/>
  <c r="H24" i="26"/>
  <c r="L24" i="26" s="1"/>
  <c r="K9" i="26"/>
  <c r="H9" i="26"/>
  <c r="L9" i="26" s="1"/>
  <c r="K31" i="26"/>
  <c r="H31" i="26"/>
  <c r="L31" i="26" s="1"/>
  <c r="K35" i="26"/>
  <c r="H35" i="26"/>
  <c r="L35" i="26" s="1"/>
  <c r="K30" i="26"/>
  <c r="H30" i="26"/>
  <c r="L30" i="26" s="1"/>
  <c r="K12" i="26"/>
  <c r="H12" i="26"/>
  <c r="L12" i="26" s="1"/>
  <c r="K29" i="26"/>
  <c r="H29" i="26"/>
  <c r="L29" i="26" s="1"/>
  <c r="K26" i="26"/>
  <c r="H26" i="26"/>
  <c r="L26" i="26" s="1"/>
  <c r="K25" i="26"/>
  <c r="H25" i="26"/>
  <c r="L25" i="26" s="1"/>
  <c r="K27" i="26"/>
  <c r="H27" i="26"/>
  <c r="L27" i="26" s="1"/>
  <c r="K21" i="26"/>
  <c r="H21" i="26"/>
  <c r="L21" i="26" s="1"/>
  <c r="K18" i="26"/>
  <c r="H18" i="26"/>
  <c r="L18" i="26" s="1"/>
  <c r="K15" i="26"/>
  <c r="H15" i="26"/>
  <c r="L15" i="26" s="1"/>
  <c r="K22" i="26"/>
  <c r="H22" i="26"/>
  <c r="L22" i="26" s="1"/>
  <c r="K14" i="26"/>
  <c r="H14" i="26"/>
  <c r="L14" i="26" s="1"/>
  <c r="K28" i="26"/>
  <c r="H28" i="26"/>
  <c r="L28" i="26" s="1"/>
  <c r="K32" i="26"/>
  <c r="H32" i="26"/>
  <c r="L32" i="26" s="1"/>
  <c r="K33" i="26"/>
  <c r="H33" i="26"/>
  <c r="L33" i="26" s="1"/>
  <c r="K34" i="26"/>
  <c r="H34" i="26"/>
  <c r="L34" i="26" s="1"/>
  <c r="K16" i="26"/>
  <c r="H16" i="26"/>
  <c r="L16" i="26" s="1"/>
  <c r="K23" i="26"/>
  <c r="H23" i="26"/>
  <c r="L23" i="26" s="1"/>
  <c r="K13" i="26"/>
  <c r="H13" i="26"/>
  <c r="L13" i="26" s="1"/>
  <c r="K19" i="26"/>
  <c r="H19" i="26"/>
  <c r="L19" i="26" s="1"/>
  <c r="K11" i="26"/>
  <c r="H11" i="26"/>
  <c r="L11" i="26" s="1"/>
  <c r="J13" i="64"/>
  <c r="G13" i="64"/>
  <c r="K13" i="64" s="1"/>
  <c r="J24" i="64"/>
  <c r="G24" i="64"/>
  <c r="K24" i="64" s="1"/>
  <c r="J14" i="64"/>
  <c r="G14" i="64"/>
  <c r="K14" i="64" s="1"/>
  <c r="J11" i="64"/>
  <c r="G11" i="64"/>
  <c r="K11" i="64" s="1"/>
  <c r="J27" i="64"/>
  <c r="G27" i="64"/>
  <c r="K27" i="64" s="1"/>
  <c r="J29" i="64"/>
  <c r="G29" i="64"/>
  <c r="K29" i="64" s="1"/>
  <c r="J12" i="64"/>
  <c r="G12" i="64"/>
  <c r="K12" i="64" s="1"/>
  <c r="J36" i="64"/>
  <c r="G36" i="64"/>
  <c r="K36" i="64" s="1"/>
  <c r="J30" i="64"/>
  <c r="G30" i="64"/>
  <c r="K30" i="64" s="1"/>
  <c r="J18" i="64"/>
  <c r="G18" i="64"/>
  <c r="K18" i="64" s="1"/>
  <c r="J34" i="64"/>
  <c r="G34" i="64"/>
  <c r="K34" i="64" s="1"/>
  <c r="J9" i="64"/>
  <c r="G9" i="64"/>
  <c r="K9" i="64" s="1"/>
  <c r="J32" i="64"/>
  <c r="G32" i="64"/>
  <c r="K32" i="64" s="1"/>
  <c r="J15" i="64"/>
  <c r="G15" i="64"/>
  <c r="K15" i="64" s="1"/>
  <c r="J23" i="64"/>
  <c r="G23" i="64"/>
  <c r="K23" i="64" s="1"/>
  <c r="J20" i="64"/>
  <c r="G20" i="64"/>
  <c r="K20" i="64" s="1"/>
  <c r="J22" i="64"/>
  <c r="G22" i="64"/>
  <c r="K22" i="64" s="1"/>
  <c r="J33" i="64"/>
  <c r="G33" i="64"/>
  <c r="K33" i="64" s="1"/>
  <c r="J31" i="64"/>
  <c r="G31" i="64"/>
  <c r="K31" i="64" s="1"/>
  <c r="J26" i="64"/>
  <c r="G26" i="64"/>
  <c r="K26" i="64" s="1"/>
  <c r="J25" i="64"/>
  <c r="G25" i="64"/>
  <c r="K25" i="64" s="1"/>
  <c r="J35" i="64"/>
  <c r="G35" i="64"/>
  <c r="K35" i="64" s="1"/>
  <c r="J19" i="64"/>
  <c r="G19" i="64"/>
  <c r="K19" i="64" s="1"/>
  <c r="J16" i="64"/>
  <c r="G16" i="64"/>
  <c r="K16" i="64" s="1"/>
  <c r="J28" i="64"/>
  <c r="G28" i="64"/>
  <c r="K28" i="64" s="1"/>
  <c r="J10" i="64"/>
  <c r="G10" i="64"/>
  <c r="K10" i="64" s="1"/>
  <c r="J21" i="64"/>
  <c r="G21" i="64"/>
  <c r="K21" i="64" s="1"/>
  <c r="J17" i="64"/>
  <c r="G17" i="64"/>
  <c r="K17" i="64" s="1"/>
  <c r="J27" i="37"/>
  <c r="G27" i="37"/>
  <c r="K27" i="37" s="1"/>
  <c r="J12" i="37"/>
  <c r="G12" i="37"/>
  <c r="K12" i="37" s="1"/>
  <c r="J11" i="37"/>
  <c r="G11" i="37"/>
  <c r="K11" i="37" s="1"/>
  <c r="J18" i="37"/>
  <c r="G18" i="37"/>
  <c r="K18" i="37" s="1"/>
  <c r="J24" i="37"/>
  <c r="G24" i="37"/>
  <c r="K24" i="37" s="1"/>
  <c r="J19" i="37"/>
  <c r="G19" i="37"/>
  <c r="K19" i="37" s="1"/>
  <c r="J15" i="37"/>
  <c r="G15" i="37"/>
  <c r="K15" i="37" s="1"/>
  <c r="J17" i="37"/>
  <c r="G17" i="37"/>
  <c r="K17" i="37" s="1"/>
  <c r="J36" i="37"/>
  <c r="G36" i="37"/>
  <c r="K36" i="37" s="1"/>
  <c r="J34" i="37"/>
  <c r="G34" i="37"/>
  <c r="K34" i="37" s="1"/>
  <c r="J20" i="37"/>
  <c r="G20" i="37"/>
  <c r="K20" i="37" s="1"/>
  <c r="J9" i="37"/>
  <c r="G9" i="37"/>
  <c r="K9" i="37" s="1"/>
  <c r="J21" i="37"/>
  <c r="G21" i="37"/>
  <c r="K21" i="37" s="1"/>
  <c r="J16" i="37"/>
  <c r="G16" i="37"/>
  <c r="K16" i="37" s="1"/>
  <c r="J29" i="37"/>
  <c r="G29" i="37"/>
  <c r="K29" i="37" s="1"/>
  <c r="J22" i="37"/>
  <c r="G22" i="37"/>
  <c r="K22" i="37" s="1"/>
  <c r="J35" i="37"/>
  <c r="G35" i="37"/>
  <c r="K35" i="37" s="1"/>
  <c r="J28" i="37"/>
  <c r="G28" i="37"/>
  <c r="K28" i="37" s="1"/>
  <c r="J23" i="37"/>
  <c r="G23" i="37"/>
  <c r="K23" i="37" s="1"/>
  <c r="J32" i="37"/>
  <c r="G32" i="37"/>
  <c r="K32" i="37" s="1"/>
  <c r="J25" i="37"/>
  <c r="G25" i="37"/>
  <c r="K25" i="37" s="1"/>
  <c r="J10" i="37"/>
  <c r="G10" i="37"/>
  <c r="K10" i="37" s="1"/>
  <c r="J13" i="37"/>
  <c r="G13" i="37"/>
  <c r="K13" i="37" s="1"/>
  <c r="J26" i="37"/>
  <c r="G26" i="37"/>
  <c r="K26" i="37" s="1"/>
  <c r="J30" i="37"/>
  <c r="G30" i="37"/>
  <c r="K30" i="37" s="1"/>
  <c r="J33" i="37"/>
  <c r="G33" i="37"/>
  <c r="K33" i="37" s="1"/>
  <c r="J14" i="37"/>
  <c r="G14" i="37"/>
  <c r="K14" i="37" s="1"/>
  <c r="J31" i="37"/>
  <c r="G31" i="37"/>
  <c r="K31" i="37" s="1"/>
  <c r="J21" i="59"/>
  <c r="G21" i="59"/>
  <c r="K21" i="59" s="1"/>
  <c r="J30" i="59"/>
  <c r="G30" i="59"/>
  <c r="K30" i="59" s="1"/>
  <c r="J26" i="59"/>
  <c r="G26" i="59"/>
  <c r="K26" i="59" s="1"/>
  <c r="J35" i="59"/>
  <c r="G35" i="59"/>
  <c r="K35" i="59" s="1"/>
  <c r="J20" i="59"/>
  <c r="G20" i="59"/>
  <c r="K20" i="59" s="1"/>
  <c r="J29" i="59"/>
  <c r="G29" i="59"/>
  <c r="K29" i="59" s="1"/>
  <c r="J33" i="59"/>
  <c r="G33" i="59"/>
  <c r="K33" i="59" s="1"/>
  <c r="J25" i="59"/>
  <c r="G25" i="59"/>
  <c r="K25" i="59" s="1"/>
  <c r="J23" i="59"/>
  <c r="G23" i="59"/>
  <c r="K23" i="59" s="1"/>
  <c r="J36" i="59"/>
  <c r="G36" i="59"/>
  <c r="K36" i="59" s="1"/>
  <c r="J31" i="59"/>
  <c r="G31" i="59"/>
  <c r="K31" i="59" s="1"/>
  <c r="J34" i="59"/>
  <c r="G34" i="59"/>
  <c r="K34" i="59" s="1"/>
  <c r="J18" i="59"/>
  <c r="G18" i="59"/>
  <c r="K18" i="59" s="1"/>
  <c r="J17" i="59"/>
  <c r="G17" i="59"/>
  <c r="K17" i="59" s="1"/>
  <c r="J15" i="59"/>
  <c r="G15" i="59"/>
  <c r="K15" i="59" s="1"/>
  <c r="J11" i="59"/>
  <c r="G11" i="59"/>
  <c r="K11" i="59" s="1"/>
  <c r="J22" i="59"/>
  <c r="G22" i="59"/>
  <c r="K22" i="59" s="1"/>
  <c r="J27" i="59"/>
  <c r="G27" i="59"/>
  <c r="K27" i="59" s="1"/>
  <c r="J28" i="59"/>
  <c r="G28" i="59"/>
  <c r="K28" i="59" s="1"/>
  <c r="J9" i="59"/>
  <c r="G9" i="59"/>
  <c r="K9" i="59" s="1"/>
  <c r="J10" i="59"/>
  <c r="G10" i="59"/>
  <c r="K10" i="59" s="1"/>
  <c r="J13" i="59"/>
  <c r="G13" i="59"/>
  <c r="K13" i="59" s="1"/>
  <c r="J19" i="59"/>
  <c r="G19" i="59"/>
  <c r="K19" i="59" s="1"/>
  <c r="J32" i="59"/>
  <c r="G32" i="59"/>
  <c r="K32" i="59" s="1"/>
  <c r="J24" i="59"/>
  <c r="G24" i="59"/>
  <c r="K24" i="59" s="1"/>
  <c r="J14" i="59"/>
  <c r="G14" i="59"/>
  <c r="K14" i="59" s="1"/>
  <c r="J12" i="59"/>
  <c r="G12" i="59"/>
  <c r="K12" i="59" s="1"/>
  <c r="J16" i="59"/>
  <c r="G16" i="59"/>
  <c r="K16" i="59" s="1"/>
  <c r="J24" i="60"/>
  <c r="G24" i="60"/>
  <c r="K24" i="60" s="1"/>
  <c r="J20" i="60"/>
  <c r="G20" i="60"/>
  <c r="K20" i="60" s="1"/>
  <c r="J33" i="60"/>
  <c r="G33" i="60"/>
  <c r="K33" i="60" s="1"/>
  <c r="J28" i="60"/>
  <c r="G28" i="60"/>
  <c r="K28" i="60" s="1"/>
  <c r="J26" i="60"/>
  <c r="G26" i="60"/>
  <c r="K26" i="60" s="1"/>
  <c r="J25" i="60"/>
  <c r="G25" i="60"/>
  <c r="K25" i="60" s="1"/>
  <c r="J13" i="60"/>
  <c r="G13" i="60"/>
  <c r="K13" i="60" s="1"/>
  <c r="J22" i="60"/>
  <c r="G22" i="60"/>
  <c r="K22" i="60" s="1"/>
  <c r="J10" i="60"/>
  <c r="G10" i="60"/>
  <c r="K10" i="60" s="1"/>
  <c r="J29" i="60"/>
  <c r="G29" i="60"/>
  <c r="K29" i="60" s="1"/>
  <c r="J15" i="60"/>
  <c r="G15" i="60"/>
  <c r="K15" i="60" s="1"/>
  <c r="J36" i="60"/>
  <c r="G36" i="60"/>
  <c r="K36" i="60" s="1"/>
  <c r="J35" i="60"/>
  <c r="G35" i="60"/>
  <c r="K35" i="60" s="1"/>
  <c r="J32" i="60"/>
  <c r="G32" i="60"/>
  <c r="K32" i="60" s="1"/>
  <c r="J18" i="60"/>
  <c r="G18" i="60"/>
  <c r="K18" i="60" s="1"/>
  <c r="J11" i="60"/>
  <c r="G11" i="60"/>
  <c r="K11" i="60" s="1"/>
  <c r="J17" i="60"/>
  <c r="G17" i="60"/>
  <c r="K17" i="60" s="1"/>
  <c r="J9" i="60"/>
  <c r="G9" i="60"/>
  <c r="K9" i="60" s="1"/>
  <c r="J34" i="60"/>
  <c r="G34" i="60"/>
  <c r="K34" i="60" s="1"/>
  <c r="J14" i="60"/>
  <c r="G14" i="60"/>
  <c r="K14" i="60" s="1"/>
  <c r="J30" i="60"/>
  <c r="G30" i="60"/>
  <c r="K30" i="60" s="1"/>
  <c r="J21" i="60"/>
  <c r="G21" i="60"/>
  <c r="K21" i="60" s="1"/>
  <c r="J31" i="60"/>
  <c r="G31" i="60"/>
  <c r="K31" i="60" s="1"/>
  <c r="J19" i="60"/>
  <c r="G19" i="60"/>
  <c r="K19" i="60" s="1"/>
  <c r="J16" i="60"/>
  <c r="G16" i="60"/>
  <c r="K16" i="60" s="1"/>
  <c r="J27" i="60"/>
  <c r="G27" i="60"/>
  <c r="K27" i="60" s="1"/>
  <c r="J23" i="60"/>
  <c r="G23" i="60"/>
  <c r="K23" i="60" s="1"/>
  <c r="J12" i="60"/>
  <c r="G12" i="60"/>
  <c r="K12" i="60" s="1"/>
  <c r="L27" i="61" l="1"/>
  <c r="L29" i="61"/>
  <c r="L32" i="61"/>
  <c r="L31" i="61"/>
  <c r="L25" i="61"/>
  <c r="L33" i="25"/>
  <c r="L34" i="25"/>
  <c r="L24" i="25"/>
  <c r="L19" i="25"/>
  <c r="L23" i="25"/>
  <c r="L27" i="25"/>
  <c r="L13" i="25"/>
  <c r="L28" i="25"/>
  <c r="L14" i="25"/>
  <c r="L9" i="25"/>
  <c r="L17" i="25"/>
  <c r="L15" i="25"/>
  <c r="L20" i="25"/>
  <c r="L26" i="25"/>
  <c r="K8" i="68"/>
  <c r="L8" i="68" s="1"/>
  <c r="H8" i="68"/>
  <c r="K8" i="67"/>
  <c r="H8" i="67"/>
  <c r="L8" i="67" l="1"/>
  <c r="K8" i="66"/>
  <c r="H8" i="66"/>
  <c r="K8" i="65"/>
  <c r="H8" i="65"/>
  <c r="J8" i="64"/>
  <c r="G8" i="64"/>
  <c r="K8" i="63"/>
  <c r="H8" i="63"/>
  <c r="K8" i="62"/>
  <c r="H8" i="62"/>
  <c r="K8" i="61"/>
  <c r="H8" i="61"/>
  <c r="J8" i="60"/>
  <c r="G8" i="60"/>
  <c r="J8" i="59"/>
  <c r="G8" i="59"/>
  <c r="K8" i="57"/>
  <c r="H8" i="57"/>
  <c r="K8" i="56"/>
  <c r="H8" i="56"/>
  <c r="J8" i="37"/>
  <c r="G8" i="37"/>
  <c r="K8" i="64" l="1"/>
  <c r="K8" i="37"/>
  <c r="L8" i="63"/>
  <c r="K8" i="60"/>
  <c r="K8" i="59"/>
  <c r="L8" i="56"/>
  <c r="L8" i="66"/>
  <c r="L8" i="65"/>
  <c r="L8" i="62"/>
  <c r="L8" i="61"/>
  <c r="L8" i="57"/>
  <c r="K8" i="28"/>
  <c r="H8" i="28"/>
  <c r="K8" i="27"/>
  <c r="H8" i="27"/>
  <c r="K8" i="26"/>
  <c r="H8" i="26"/>
  <c r="K8" i="25"/>
  <c r="H8" i="25"/>
  <c r="K8" i="24"/>
  <c r="H8" i="24"/>
  <c r="K8" i="21"/>
  <c r="H8" i="21"/>
  <c r="L8" i="25" l="1"/>
  <c r="L8" i="28"/>
  <c r="L8" i="27"/>
  <c r="L8" i="24"/>
  <c r="L8" i="21"/>
  <c r="L8" i="26"/>
</calcChain>
</file>

<file path=xl/sharedStrings.xml><?xml version="1.0" encoding="utf-8"?>
<sst xmlns="http://schemas.openxmlformats.org/spreadsheetml/2006/main" count="908" uniqueCount="566">
  <si>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</si>
  <si>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</si>
  <si>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</si>
  <si>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</si>
  <si>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</si>
  <si>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</si>
  <si>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</si>
  <si>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</si>
  <si>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</si>
  <si>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</si>
  <si>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</si>
  <si>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</si>
  <si>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</si>
  <si>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</si>
  <si>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</si>
  <si>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</si>
  <si>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QUIMICA INDUSTRIAL</t>
  </si>
  <si>
    <t>CONSTRUCCIONES CIVILES</t>
  </si>
  <si>
    <t>MECANICA AUTOMOTRIZ</t>
  </si>
  <si>
    <t>ELECTROMECANICA</t>
  </si>
  <si>
    <t>ELECTRONICA</t>
  </si>
  <si>
    <t>ELECTRICIDAD</t>
  </si>
  <si>
    <t>TURNO MAÑANA CURSO: 1ro. SECCION: 1ra.</t>
  </si>
  <si>
    <t>TURNO TARDE CURSO: 1ro. SECCION: 2da.</t>
  </si>
  <si>
    <t>TURNO MAÑANA 1er. Curso 1ra. Seccion.</t>
  </si>
  <si>
    <t>TURNO TARDE CURSO: 1ro. SECCION: 3ra.</t>
  </si>
  <si>
    <t xml:space="preserve">TURNO MAÑANA CURSO: 1ro. SECCION: 1ra. </t>
  </si>
  <si>
    <t xml:space="preserve">TURNO TARDE CURSO: 1ro. SECCION: 2da. </t>
  </si>
  <si>
    <t>TURNO MAÑANA CURSO: 1ro. SECCION: 3ra.</t>
  </si>
  <si>
    <t>TURNO MAÑANA CURSO: 1ro. SECCION: 1a.</t>
  </si>
  <si>
    <t xml:space="preserve"> </t>
  </si>
  <si>
    <t>MECANICA GENERAL</t>
  </si>
  <si>
    <t>LISTA DEFINITIVA- COLEGIO TECNICO NACIONAL DE LA CAPITAL / 2019</t>
  </si>
  <si>
    <t>MURA ZARZA MARIA FLORENCIA</t>
  </si>
  <si>
    <t>GENEZ RIVALDI RICARDO DANIEL</t>
  </si>
  <si>
    <t>RECKZIEGELWEILER CATHERINE SABRINA</t>
  </si>
  <si>
    <t>OJEDA LAGRAÑA FABRIZIO MATHIAS</t>
  </si>
  <si>
    <t>NUÑEZ ACOSTA JAZMIN ALICIA</t>
  </si>
  <si>
    <t>NOGUERA MARTINEZ SOFIA ANDREA</t>
  </si>
  <si>
    <t>CABRERA RUMICHI FIORELLA DULCE MARIA</t>
  </si>
  <si>
    <t>LEZCANO ZANPHIROPOLOS LAURA MARIA ESTHER</t>
  </si>
  <si>
    <t>BAEL VILLANUEVA RAQUEL MAGALI</t>
  </si>
  <si>
    <t>OJEDA PALACIOS CLAUDIA MICAELA</t>
  </si>
  <si>
    <t>CHAPARRO SIVA GABRIELA ARACELI</t>
  </si>
  <si>
    <t>SILVERO MENDIETA JULIO CESAR</t>
  </si>
  <si>
    <t>SAMUDIO VILLALBA GUILLERMO NICOLAS</t>
  </si>
  <si>
    <t>RANONI ASCONA GIANN ENMANUEL</t>
  </si>
  <si>
    <t>GARCIA GIMENEZ SARA ELIZABETH</t>
  </si>
  <si>
    <t>BARRIOS ARANDA CYNTHIA ELIZABETH</t>
  </si>
  <si>
    <t>FRANCO GAMARRA FERNANDO MATIAS</t>
  </si>
  <si>
    <t>AREVALOS MARKOVICS NATHALY ESTEFANIA</t>
  </si>
  <si>
    <t>RICART ALBERA LUZ ROMINA</t>
  </si>
  <si>
    <t>CACERES TRINIDAD ARACELI ARAMI</t>
  </si>
  <si>
    <t>PAREDES CASTILLO NICOLE ARACELI</t>
  </si>
  <si>
    <t>GIMENEZ SILVA MARIA PAZ</t>
  </si>
  <si>
    <t>PENAILILLO MARTINEZ PEDRO RODRIGO NICOLAS</t>
  </si>
  <si>
    <t>GAVILAN GALEANO ALICIA ISABEL</t>
  </si>
  <si>
    <t>FRANCO CRISTALDO FLORENCIA INES</t>
  </si>
  <si>
    <t>NUÑEZ SERVIAN ANGELICA NICOLE</t>
  </si>
  <si>
    <t>MAÑOTTI BALBUENA MELIANS ZAHIR</t>
  </si>
  <si>
    <t>BURGOS RODRIGUEZ BRIDA MARIA</t>
  </si>
  <si>
    <t>FERNANDEZ VEGA MARIO ISAIAS</t>
  </si>
  <si>
    <t>CABALLERO ROJAS STEFANIA</t>
  </si>
  <si>
    <t>COLMAN BAREIRO BIANKA JANNINA</t>
  </si>
  <si>
    <t>MORINIGO AGUAYO OSVALDO DANIEL</t>
  </si>
  <si>
    <t>SANTACRUZ ESQUIVEL THELMA LICETTE</t>
  </si>
  <si>
    <t>LOPEZ DOMINGUEZ MARCO MISAEL</t>
  </si>
  <si>
    <t>CANO QUINTERO JORGE MAXIMILIANO</t>
  </si>
  <si>
    <t>ARRIOLA PERALTA ANTONELLA NOEMI</t>
  </si>
  <si>
    <t>AGÜERO PAREDES TAMARA DAHIANA</t>
  </si>
  <si>
    <t xml:space="preserve">RUIZ DIAZ GONZALEZ ANA BELEN </t>
  </si>
  <si>
    <t>RECALDE ROJAS ANGELA MALENA</t>
  </si>
  <si>
    <t>MARTINEZ VILLALBA LUCIA NAHIR</t>
  </si>
  <si>
    <t>BARRIOS GAONA GABRIELA GIOVANNA</t>
  </si>
  <si>
    <t>CUANDU CUBILLA NILSA CLARISA</t>
  </si>
  <si>
    <t>LACASA SILVA ANAHI HAYDEE</t>
  </si>
  <si>
    <t>LEIVA ALONSO ALEXANDRA BELEN</t>
  </si>
  <si>
    <t>VALLEJOS GONZALEZ SYNDY LUZ MARIA</t>
  </si>
  <si>
    <t>SANCHEZ VALDEZ SADY LUCIA MINERVA</t>
  </si>
  <si>
    <t>VERA VELAZQUEZ GISSELE ARACELY</t>
  </si>
  <si>
    <t>MEZA BOGADO JENNIFER MARIEL</t>
  </si>
  <si>
    <t>OZUNA LOPEZ FIORELA MONSERRAT</t>
  </si>
  <si>
    <t>SOTELO ADORNO GABRIELA</t>
  </si>
  <si>
    <t>RUIZ DIAZ NUÑEZ SARA LUZANGEL</t>
  </si>
  <si>
    <t>LOPEZ INSFRAN MATIAS ADOLFO</t>
  </si>
  <si>
    <t>VERA CHAPARRO ELIANA BELEN</t>
  </si>
  <si>
    <t>QUIÑONEZ MARTINEZ NAHOMY LUJAN</t>
  </si>
  <si>
    <t>SANCHEZ MARTINEZ PAULA KARINA</t>
  </si>
  <si>
    <t>MALDONADO PEÑA KELY FLORENCIA</t>
  </si>
  <si>
    <t>PANIAGUA DUARTE OCTAVIO ENMANUEL</t>
  </si>
  <si>
    <t>CACERES VEGA BIANCA ARAMI</t>
  </si>
  <si>
    <t>RODRIGUEZ VILLAGRA CARMEN ARACELI</t>
  </si>
  <si>
    <t>PAIVA MIRANDA ANA PAULA</t>
  </si>
  <si>
    <t>HUESPE TEME SOPHIA AYELEN</t>
  </si>
  <si>
    <t>BENITEZ FARIÑA YAMILA LUJAN</t>
  </si>
  <si>
    <t>AGUILERA VERA ANA BELEN</t>
  </si>
  <si>
    <t>GERKE ZAMPHIROPOLOS ERIKA BELEN</t>
  </si>
  <si>
    <t>PEREZ ALMEIDA HUGO MARCELO</t>
  </si>
  <si>
    <t>FLEITAS NUÑEZ KEVIN JAVIER</t>
  </si>
  <si>
    <t>LOPEZ LEIVA AMIRA LILIANA</t>
  </si>
  <si>
    <t>ZAPATTINI LUGO ELIAS MIGUEL</t>
  </si>
  <si>
    <t>FERNANDEZ MAZACOTTE JOSE EDUARDO</t>
  </si>
  <si>
    <t>OJEDA JARA SANDRA CAROLINA</t>
  </si>
  <si>
    <t>CANTERO BENITEZ LUANA</t>
  </si>
  <si>
    <t>ESCOBAR IBAÑEZ ENZO ENZEQUIEL</t>
  </si>
  <si>
    <t>AGÜERO GALLAGHER CARMEN FIORELLA</t>
  </si>
  <si>
    <t>ESCOBAR BENITEZ MARIANA JAZMIN</t>
  </si>
  <si>
    <t>VALLEJOS DOMINGUEZ ARMANDO DECIDERIO</t>
  </si>
  <si>
    <t>ZARATE BAEZ XIMENA CAROLINA</t>
  </si>
  <si>
    <t>CARDOZO ORTIZ GIULANA ROCIO</t>
  </si>
  <si>
    <t>CANDIA INSFRAN ADRIAN DANIEL</t>
  </si>
  <si>
    <t>DAVALOS NUÑEZ ROMINA BELEN</t>
  </si>
  <si>
    <t>FRANCO VILLALBA INGRID GIOVANNA</t>
  </si>
  <si>
    <t>CENTURION BRITOS LUCIA ARAMI</t>
  </si>
  <si>
    <t>ARTETA PAREDES XIMENA MARIA ELIZABEHT</t>
  </si>
  <si>
    <t>ARZAMENDIA BLANCO SAIDY SOLEDAD</t>
  </si>
  <si>
    <t>IRALA BAEZ MAIRA CECILIA</t>
  </si>
  <si>
    <t>FLORENCIO PAREDES RODRIGO DAVID</t>
  </si>
  <si>
    <t>GONZALEZ MORA JAVIER ARTURO</t>
  </si>
  <si>
    <t>BRIZUELA ACUÑA GIULIANA ANHAI</t>
  </si>
  <si>
    <t>NUÑEZ RIOS ANA LAURA</t>
  </si>
  <si>
    <t>FERNANDEZ TOLEDO CARLOS ANIBAL</t>
  </si>
  <si>
    <t>GONZALEZ ALFONZO OSCAR ALBERTO</t>
  </si>
  <si>
    <t>VAZQUEZ OSCAR ALEJANDRO</t>
  </si>
  <si>
    <t>LESME ROJAS SARIE DIANA</t>
  </si>
  <si>
    <t>MOREL LEGUIZAMON LUIS MANUEL</t>
  </si>
  <si>
    <t>RAMIREZ SANCHEZ XIMENA YAZMIN</t>
  </si>
  <si>
    <t>SOSA CABALLERO JORGE ELIAS</t>
  </si>
  <si>
    <t>GONZALEZ ROLON DIEGO RAFAEL</t>
  </si>
  <si>
    <t>GONZALEZ MALDONADO JUAN DANIEL</t>
  </si>
  <si>
    <t>GUANES GROSSLING JENNIFER LUJAN</t>
  </si>
  <si>
    <t>FEREIRA MEDINA RUBEN DARIO</t>
  </si>
  <si>
    <t>RODRIGUEZ BAEZ SOFIA MARIA BELEN</t>
  </si>
  <si>
    <t>ARCE ZARZA VLADIMIR EZEQUIEL</t>
  </si>
  <si>
    <t>TORRES CANDIA JOSE MIGUEL</t>
  </si>
  <si>
    <t>GOMEZ NARVAEZ CRISTHIAN ALCIDES</t>
  </si>
  <si>
    <t>PORTILLO PIRIS RAFAEL NICOLAS</t>
  </si>
  <si>
    <t>VELEZQUEZ SOTTO LUZ MARIA</t>
  </si>
  <si>
    <t>CASTRO RAMIREZ VICTOR MANUEL</t>
  </si>
  <si>
    <t>ORTIZ RIQUELME JORGE NAHUEL</t>
  </si>
  <si>
    <t>NAVARRO INVERNIZZI ALVARO IVAN</t>
  </si>
  <si>
    <t>CABALLERO GIMENEZ MARA MONSERRATH</t>
  </si>
  <si>
    <t>DURE LOPEZ FARID ALEJANDRO</t>
  </si>
  <si>
    <t>LEDEZMA MERCADO LARISSA GISELLE</t>
  </si>
  <si>
    <t>DUARTE ALCARAZ FERNANDO DANIEL</t>
  </si>
  <si>
    <t>ARAUJO AQUINO LUCAS ISAAC</t>
  </si>
  <si>
    <t xml:space="preserve">ESPINOLA OLMEDO PAMELA DAHIANA </t>
  </si>
  <si>
    <t>BENITEZ RIVEROS SEBASTIAN ISMAEL</t>
  </si>
  <si>
    <t>LEE GONZALEZ DHAL CHIARA</t>
  </si>
  <si>
    <t>CACERES DIAZ ALAN GABRIEL</t>
  </si>
  <si>
    <t>TOLEDO MASCHERONI FREDY DANIEL</t>
  </si>
  <si>
    <t>SOA ADORNO ALEJANDRO MATIAS</t>
  </si>
  <si>
    <t>ROSSI DIAZ RODOLFO MOISES</t>
  </si>
  <si>
    <t>PEÑA GONZALEZ BRAHIAN MIGUEL</t>
  </si>
  <si>
    <t>BOGARIN GOMEZ MARCELO DANIEL</t>
  </si>
  <si>
    <t>IGLESIAS GALINDO ENRIQUE MARTIN</t>
  </si>
  <si>
    <t>CABRERA IBAÑEZ DIANA MARISOL</t>
  </si>
  <si>
    <t>DUARTE VILLALBA GERALDINO</t>
  </si>
  <si>
    <t>GALEANO ALFONSO WENDY DESIREE</t>
  </si>
  <si>
    <t>OROA AGUILERA JESUS MANUEL</t>
  </si>
  <si>
    <t>MEDEN MEZA NICOLAS EDUARDO</t>
  </si>
  <si>
    <t>MUSA GAUTO GIOVANNE ENMANUEL</t>
  </si>
  <si>
    <t>PEREIRA ACOSTA VANESSA LUJAN</t>
  </si>
  <si>
    <t>AVALOS MATTO NELSON OSVALDO</t>
  </si>
  <si>
    <t>RAMOS GAYOSO SOFIA FIORELLA</t>
  </si>
  <si>
    <t>VALDEZ BENITEZ EVER ISAIAS</t>
  </si>
  <si>
    <t>ROJAS DA SILVA MELLO CARLOS RAFAEL</t>
  </si>
  <si>
    <t>AGÜERO MARECO ARMANDO DANIEL</t>
  </si>
  <si>
    <t>LOPEZ INSFRAN SOFIA DANIELA</t>
  </si>
  <si>
    <t>FLEISCHER VIÑALES MIJAIL ALEJANDRO</t>
  </si>
  <si>
    <t>AMARILLA RIVEROS MARCELO JAVIER</t>
  </si>
  <si>
    <t>CAÑIZA SABABRIA EDUARDO ARIEL</t>
  </si>
  <si>
    <t>VERA BAETCKE FELIX ELADIO</t>
  </si>
  <si>
    <t>MARTINEZ DUARTE HUGO DANIEL</t>
  </si>
  <si>
    <t>OVELAR LOPEZ MARIANO</t>
  </si>
  <si>
    <t>STANLEY VILLALBA ARIANNE AYELEN</t>
  </si>
  <si>
    <t>PINEDA PICCO EDUARDO</t>
  </si>
  <si>
    <t>LEI DAVALOS MATIAS IVAN</t>
  </si>
  <si>
    <t>PALACIOS ROJAS JOSE AGUSTIN</t>
  </si>
  <si>
    <t>FERNANDEZ AVALOS GUSTAVO ARIEL</t>
  </si>
  <si>
    <t>DUARTE PALACIO GABRIEL GUSTAVO</t>
  </si>
  <si>
    <t>SAMUDIO CANTERO ERNESTO RAFAEL</t>
  </si>
  <si>
    <t>AQUINO RIVEROS ONAM VINICIUS</t>
  </si>
  <si>
    <t>CABRERA GONZALEZ REBECA NOEMI</t>
  </si>
  <si>
    <t>AISEMAN RODRIGUEZ TADEO SAMUEL</t>
  </si>
  <si>
    <t>CHAPARRO QUEVEDO ANIBAL NICOLAS</t>
  </si>
  <si>
    <t>LANDONI MORAN ARMANDO JOSE</t>
  </si>
  <si>
    <t>VERA PARASCHIW ARACELY ARAMI</t>
  </si>
  <si>
    <t>ACHON PAREDES RODRIGO SEBASTIAN</t>
  </si>
  <si>
    <t>ROMERO INSFRAN MARCELO NICOLAS</t>
  </si>
  <si>
    <t>YEGROS RIQUELME MAXIMILIANO OSMAR</t>
  </si>
  <si>
    <t>GONZALEZ MARTINEZ ISAIAS DANIEL</t>
  </si>
  <si>
    <t>RODRIGUEZ MENDIETA KENNY MIQUEAS</t>
  </si>
  <si>
    <t>MENDEZ GONZALEZ NINIVE ARIANA</t>
  </si>
  <si>
    <t>ARRUA CANTERO OLIVER ARIEL</t>
  </si>
  <si>
    <t>SALOMON CASTILLO TOBIAS</t>
  </si>
  <si>
    <t>TABOADA VILLORDO PAOLA JAZMIN</t>
  </si>
  <si>
    <t>FARIÑA ESPINOLA SEBASTIAN EMMANUEL</t>
  </si>
  <si>
    <t>GONZALEZ NUÑEZ VALENTINA MONSERRAT</t>
  </si>
  <si>
    <t>MARTINEZ GALEANO HUGO ABRAHAM</t>
  </si>
  <si>
    <t>OCAMPOS BENEGAS ELIAS ISAAC</t>
  </si>
  <si>
    <t>VALLEJO CACERES FABRICIO JOSE</t>
  </si>
  <si>
    <t>BARRIOS VAZQUEZ LEONARDO JOSE</t>
  </si>
  <si>
    <t>VELAZQUEZ ORTIZ ANGEL SANTO</t>
  </si>
  <si>
    <t>GIOSA AGUILERA ALAM GIUSEPPE</t>
  </si>
  <si>
    <t>SPINZI ORTIZ THYAGO FARID</t>
  </si>
  <si>
    <t>ULIAMBRE CABRAL FERNANDO DANIEL</t>
  </si>
  <si>
    <t>FRANCO FERNANDEZ GUILLERMO JESUS</t>
  </si>
  <si>
    <t>GONZALEZ COLMAN GABRIELA MERCEDES</t>
  </si>
  <si>
    <t>MARTINEZ SALINAS BRANDON MISAEL</t>
  </si>
  <si>
    <t>FIGUEREDO OVELAR LUCAS ALDAIR</t>
  </si>
  <si>
    <t>CANDIA QUIÑONEZ ARAMI CELESTE</t>
  </si>
  <si>
    <t>CASCO BELOSO ANGEL SEBASTIAN</t>
  </si>
  <si>
    <t>RIVAS GAYOZO MATIAS NICOLAS</t>
  </si>
  <si>
    <t>TRAVERSI AVALOS MATIAS DANIEL</t>
  </si>
  <si>
    <t>CAREAGA SANTACRUZ ENRIQUE SEBASTIAN</t>
  </si>
  <si>
    <t>PALAVECINO RIVEROS GIULIANNO D ALESANDRO</t>
  </si>
  <si>
    <t>BAEZ TORRES ESTRELLA MARIA</t>
  </si>
  <si>
    <t xml:space="preserve">SENA CABRERA SERGIO ALEXIS </t>
  </si>
  <si>
    <t>CORONEL ALVAREZ DERLIS ADRIAN</t>
  </si>
  <si>
    <t>RODAS ALVAREZ JESUS ENRIQUE</t>
  </si>
  <si>
    <t>LOPEZ AVALOS CARLOS DAVID</t>
  </si>
  <si>
    <t>VILLALBA FERREIRA ALVARO ISAIAS</t>
  </si>
  <si>
    <t>ROMAN QUINTANA HERNAN</t>
  </si>
  <si>
    <t>GONZALEZ VERA JOSE DAVID</t>
  </si>
  <si>
    <t>OLMEDO GONZALEZ VERONICA ARACELY</t>
  </si>
  <si>
    <t>CARDOZO TROCHE WALTER GUILLERMO</t>
  </si>
  <si>
    <t>LOPEZ DUARTE SARA GISELLE</t>
  </si>
  <si>
    <t>ORUE BOGADO LUAN FIORELLA</t>
  </si>
  <si>
    <t>ROA ESPINOLA LUCAS MATIAS</t>
  </si>
  <si>
    <t>DIAZ CRISTALDO EVELYN LUJAN</t>
  </si>
  <si>
    <t>MORAN CAMPUZANO MAURICIO JESUS</t>
  </si>
  <si>
    <t>VELAZQUEZ GAMARRA JOSE IVAN</t>
  </si>
  <si>
    <t>LOPEZ ALMADA DANNA GABRIELA</t>
  </si>
  <si>
    <t>GIMENEZ PRIETO SANTIAGO NICOLAS</t>
  </si>
  <si>
    <t>NUÑEZ RAMOS OSMAR NAHUEL</t>
  </si>
  <si>
    <t>VAZQUEZ MARECO MATIAS JOSE</t>
  </si>
  <si>
    <t>VON SCHMELING PANDO NAHOMI ELIZABETH</t>
  </si>
  <si>
    <t>MELGAREJO MANCUELLO JUAN MANUEL</t>
  </si>
  <si>
    <t>ALCARAZ ORUE IVAN ALEJANDRO</t>
  </si>
  <si>
    <t>MARIN LOUREIRO EVELIN</t>
  </si>
  <si>
    <t>GONZALEZ ORTIZ LUCAS ANDRES</t>
  </si>
  <si>
    <t>ALCARAZ SILVA ALAN FABRIZIO</t>
  </si>
  <si>
    <t>GOÑI YEGROS MELODY ALICE</t>
  </si>
  <si>
    <t>MATIAUDA SILVERO CARLOS ALFREDO</t>
  </si>
  <si>
    <t>SOSA CARDOZO ALAN RENATO</t>
  </si>
  <si>
    <t>SERVIN VELAZQUEZ MAURICIO ELISEO</t>
  </si>
  <si>
    <t>PAREDES OVIEDO JUAN MANUEL</t>
  </si>
  <si>
    <t>BOGARIN GONZALEZ JOSE SAHID</t>
  </si>
  <si>
    <t>TRIGO CUENCA LUANA ARAMI</t>
  </si>
  <si>
    <t>VALDEZ PEÑA ZAMIRA MONSERRATH</t>
  </si>
  <si>
    <t>GALEANO VALDES SILVANA NOEMI</t>
  </si>
  <si>
    <t>LOPEZ RICARDO SALMAS FIORELLA</t>
  </si>
  <si>
    <t>ARAUJO CACERES ROSWELL MYLEN</t>
  </si>
  <si>
    <t>AUGUSTO ARGUELLO SUSAN ARAMI</t>
  </si>
  <si>
    <t>RIVAROLA DUARTE THIAGO FERNANDO</t>
  </si>
  <si>
    <t>SIVA ALVARENGA MATEO NICOLAS</t>
  </si>
  <si>
    <t>AZUAGA BARUA TOBIAS ANTONIO</t>
  </si>
  <si>
    <t>BALBIANI MARTINEZ ENZO FABRIZZIO</t>
  </si>
  <si>
    <t>ACOSTA AMARILLA ALEJANDRO MARTIN</t>
  </si>
  <si>
    <t>CABALLERO NUÑEZ CHIARA JAZMIN</t>
  </si>
  <si>
    <t>CHAMORRO RUIZ DIAZ LUCAS EZEQUIEL</t>
  </si>
  <si>
    <t>ENCISO PARRIZ ARACELI LIBRADA</t>
  </si>
  <si>
    <t>RAMOS ALMIRON ARTURO ALAIN</t>
  </si>
  <si>
    <t>GONZALEZ MORINIGO MATIAS NICOLAS</t>
  </si>
  <si>
    <t>COLMAN ESCOBAR FEDERICO MANUEL</t>
  </si>
  <si>
    <t>GOMEZ GONZALEZ ANA JUDITH</t>
  </si>
  <si>
    <t>TORRES MENDEZ GUILLERMO ARIEL</t>
  </si>
  <si>
    <t>GONZALEZ NOGUERA DAYANA MONSERRATH</t>
  </si>
  <si>
    <t>CAÑETE RODRIGUEZ SHEILA MARINA</t>
  </si>
  <si>
    <t>MANCUELLO GONZALEZ RENATO JAVIER</t>
  </si>
  <si>
    <t>RECALDE RAMIREZ ARACELI ISABEL</t>
  </si>
  <si>
    <t>GOMEZ VELAZQUEZ RUTH JANNINA</t>
  </si>
  <si>
    <t>MALDONADO MORA FERNANDO IMANOL</t>
  </si>
  <si>
    <t>PERALTA SILVA AMILCAR FABRIZIO</t>
  </si>
  <si>
    <t>MOREL CABALLERO FABRIZIO IVAN</t>
  </si>
  <si>
    <t>GONZALEZ LECOQUE MARCOS ADRIAN</t>
  </si>
  <si>
    <t>CARDOZO ESCOBAR MARIA KORAL</t>
  </si>
  <si>
    <t>TORALES GIMENEZ MIGUEL ALEJANDRO</t>
  </si>
  <si>
    <t>BENITEZ FLEYTAS TOBIAS GIOVANNI</t>
  </si>
  <si>
    <t>SOSA CHEMENA RENATO SEBASTIAN</t>
  </si>
  <si>
    <t>GONZALEZ NOGUERA JULIO RAMON</t>
  </si>
  <si>
    <t>VALENZUELA ARIAS DIANA ARAMI</t>
  </si>
  <si>
    <t>AREVALOS PERALTA DAVID JEREMIAS</t>
  </si>
  <si>
    <t>GOMEZ MERELES DIEGO IVAN</t>
  </si>
  <si>
    <t>SANABRIA VILLALBA DIANA CRISAN</t>
  </si>
  <si>
    <t>LOPEZ AVALOS CARLOS DANIEL</t>
  </si>
  <si>
    <t>SCHULTZ OJEDA KEVIN RAFAEL</t>
  </si>
  <si>
    <t>VERA GAVILAN CESAR ISAIAS</t>
  </si>
  <si>
    <t>LOPEZ ACOSTA MIRIAM ALEJANDRA</t>
  </si>
  <si>
    <t>PATIÑO VERA CESAR DAVID</t>
  </si>
  <si>
    <t>GOMEZ SANABRIA SOL MARIA ALEJANDRA</t>
  </si>
  <si>
    <t>AREVALOS PANIAGUA EDGAR GABRIEL</t>
  </si>
  <si>
    <t>GUERRERO PAREDES MATHEO JOSE</t>
  </si>
  <si>
    <t>GONZALEZ VILLALBA ALAJANDRO DE JESUS</t>
  </si>
  <si>
    <t>OVELAR AYALA EXON GABRIEL</t>
  </si>
  <si>
    <t>BASUALDO CANO ARMANDO EZEQUIEL</t>
  </si>
  <si>
    <t>CABALLERO TALAVERA BRENDA MAGALI</t>
  </si>
  <si>
    <t xml:space="preserve">GONZALEZ SEGOVIA GABRIEL </t>
  </si>
  <si>
    <t>PAIVA ECHAGUE FATIMA BIANCA ARAMI</t>
  </si>
  <si>
    <t>FLEITAS AREVALOS MATHIAS MOISES</t>
  </si>
  <si>
    <t>DUARTE BELTRAN EZEQUIEL DE JESUS</t>
  </si>
  <si>
    <t xml:space="preserve">PORTILLO CABRERA AMADO DANIEL </t>
  </si>
  <si>
    <t>ALDERETE PAEZ MIGUEL ANGEL</t>
  </si>
  <si>
    <t xml:space="preserve">GOLLMANN OPPERMANN MATHEUS </t>
  </si>
  <si>
    <t>GAVILAN CUBILLA KAMILA DE JESUS</t>
  </si>
  <si>
    <t>VERGARA CHAVEZ OSCAR ROSALINO</t>
  </si>
  <si>
    <t>DUARTE INSAURRALDE TOMAS ATILIO</t>
  </si>
  <si>
    <t>RECALDE OJEDA KIHARA ABIGAIL</t>
  </si>
  <si>
    <t>GONZALEZ CORONEL ENZO IVAN</t>
  </si>
  <si>
    <t>CABALLERO GOMEZ BRUNO LUIS</t>
  </si>
  <si>
    <t>MELGAREJO ROLON MAYRA ALEJANDRA</t>
  </si>
  <si>
    <t>ROJAS ROJAS IVAN MATIAS</t>
  </si>
  <si>
    <t>KAWABATA MIYAMOTO FABRIZIO DAISUKE</t>
  </si>
  <si>
    <t>GAONA ARMOA MIGUEL AMADO</t>
  </si>
  <si>
    <t>YAMASHITA YAMAGAMI SAMUEL HIROTO</t>
  </si>
  <si>
    <t>BARRETO BAEZ WILLIAN JAVIER</t>
  </si>
  <si>
    <t>ACEVEDO VALIENTE ANAMARIA ELIZABETH</t>
  </si>
  <si>
    <t>BENITEZ ACEVAL ALVARO DAVID</t>
  </si>
  <si>
    <t>SFORZA SOSA LUCA COSTANTINO</t>
  </si>
  <si>
    <t>BONET FERNANDEZ JHONNATAN MARTIN</t>
  </si>
  <si>
    <t>COLMAN RIVEROS ALEXIS ALBERTO</t>
  </si>
  <si>
    <t>BOGADO ZAVALA ANDREA BEATRIZ</t>
  </si>
  <si>
    <t>MONNIN MONTIEL CHRISTIAN STEVEN</t>
  </si>
  <si>
    <t xml:space="preserve">PERALTA BARRETO AUGUSTO NICOLAS </t>
  </si>
  <si>
    <t>SALINAS NOGUERA CHRISTIAN EFRAIN</t>
  </si>
  <si>
    <t>MARTINEZ GONZALEZ ALESSANDRO DANIEL</t>
  </si>
  <si>
    <t>PALACIOS BORBON IVAN RICARDO</t>
  </si>
  <si>
    <t>ARCE RODRIGUEZ GUILLERMO OSMAR</t>
  </si>
  <si>
    <t>RODRIGUEZ RODAS ANGEL EMILIO</t>
  </si>
  <si>
    <t>RAMIREZ MOLINAS VALERIA ARACELI</t>
  </si>
  <si>
    <t>MEDINA ACOSTA BIANCA ARAMI</t>
  </si>
  <si>
    <t>CORONEL VILLALBA ANA VICTORIA</t>
  </si>
  <si>
    <t>LOPEZ SILVEIRA YVAN JOSSUE</t>
  </si>
  <si>
    <t>MARTINEZ JARA EMILIO GASTON</t>
  </si>
  <si>
    <t>VILLAGRA ZAYAS XIMENA LUJAN</t>
  </si>
  <si>
    <t>CABALLERO SANABRIA LUCIA ELIZABETH</t>
  </si>
  <si>
    <t>ARANDA PAREDES ANA LUCIA</t>
  </si>
  <si>
    <t>DUARTE NOCEDA MARION JEANETTE</t>
  </si>
  <si>
    <t>AGUILERA BOGADO CARLOS JOSE</t>
  </si>
  <si>
    <t>MONGELOS MIRANDA TOBIAS DANIEL</t>
  </si>
  <si>
    <t>DA SILVA ROLON WALDIR JOSUE</t>
  </si>
  <si>
    <t>QUEVEDO SOSA CARLOS ANIBAL</t>
  </si>
  <si>
    <t>GONZALEZ BENITEZ MAURICIO ANTONIO</t>
  </si>
  <si>
    <t>TOLEDO GONZALEZ MATIAS LORENZO</t>
  </si>
  <si>
    <t>MAIDANA MERELES JUAN MARCOS</t>
  </si>
  <si>
    <t>TORRES PATIÑO NAYELI SOLEDAD</t>
  </si>
  <si>
    <t>NARVAEZ BOGADO JAZMIN AYELEN</t>
  </si>
  <si>
    <t>TORRES TORRES NELSON SEBASTIAN</t>
  </si>
  <si>
    <t>AGUILERA AVALOS NATALIA BELEN</t>
  </si>
  <si>
    <t>VILLAMAYOR CABALLERO JUAN MATIAS</t>
  </si>
  <si>
    <t>CORONEL ZOILAN CESAR BLAS ISAAC</t>
  </si>
  <si>
    <t>REYES RIOS AHILIN YOLANDA</t>
  </si>
  <si>
    <t>RUIZ DIAZ ROLON ISABEL LIBRADA</t>
  </si>
  <si>
    <t>CASTRO MAZZEI FIORELLA LUANA</t>
  </si>
  <si>
    <t>OTAZU GONZALEZ SHAMIRA ISABEL</t>
  </si>
  <si>
    <t>RIVEROS OCAMPOS IVAN MARCELINO</t>
  </si>
  <si>
    <t>RUIZ ALMIRON ROBERTO DANIEL</t>
  </si>
  <si>
    <t>AGUILERA PORTILLO KEREN EDITH</t>
  </si>
  <si>
    <t>DUARTE BRITEZ MAIRA MICAELA</t>
  </si>
  <si>
    <t>ROMERO IBARRA IVAN DE JESUS</t>
  </si>
  <si>
    <t>AUTERI GONZALEZ KEVIN GABRIEL</t>
  </si>
  <si>
    <t>BAREIRO ARGUELLO JUAN JOSE</t>
  </si>
  <si>
    <t>GONZALEZ LANDOLFI GIANIRA DANIELA</t>
  </si>
  <si>
    <t>HERMOSA SERVIN DEISY GISSELLE</t>
  </si>
  <si>
    <t>AGUILAR FERNANDEZ NADIA NICOLE</t>
  </si>
  <si>
    <t>GONZALEZ FLEITAS MAURICIO DANIEL</t>
  </si>
  <si>
    <t>OCAMPOS DUARTE JAZMIN ISABEL</t>
  </si>
  <si>
    <t>MONGES ARAUJO FRANCISCO ZACARIAS</t>
  </si>
  <si>
    <t>ZAYAS VELAZQUEZ MIGUEL ANGEL</t>
  </si>
  <si>
    <t>DUARTE VILLALBA FERNANDO MATIAS</t>
  </si>
  <si>
    <t>ALMIRON OCAMPOS MATIAS JAVIER</t>
  </si>
  <si>
    <t>CABALLERO RIOS NATALIA MARIEL</t>
  </si>
  <si>
    <t>RIVEROS GONZALEZ ALEXIS IVAN</t>
  </si>
  <si>
    <t>CORREA VELAZQUEZ GABRIELA SOFIA</t>
  </si>
  <si>
    <t>BOGADO VELAZQUEZ JUAN SEBASTIAN</t>
  </si>
  <si>
    <t>JARA CABRERA FERNANDO RAFAEL</t>
  </si>
  <si>
    <t>CALFANI GILARDI GIULIANO ALSSANDRO</t>
  </si>
  <si>
    <t>LEDESMA ROMERO GIULIANO</t>
  </si>
  <si>
    <t>CORONEL CARDOZO JOAQUIN EZEQUIEL</t>
  </si>
  <si>
    <t>VELOSO PAREDES BRUNO ISMAEL</t>
  </si>
  <si>
    <t>BENITEZ ACUÑA MATIAS ANTONIO</t>
  </si>
  <si>
    <t>ROA PINTOS THIAGO ENRIQUE</t>
  </si>
  <si>
    <t>ACOSTA LEIVA JOSE MIGUEL</t>
  </si>
  <si>
    <t>IRALA ORTELLADO LORENZO RAMON</t>
  </si>
  <si>
    <t>GIMENEZ BARRETO TOBIAS FABIAN</t>
  </si>
  <si>
    <t>MIRANDA CUEVAS CARLOS DAVID</t>
  </si>
  <si>
    <t>BALBUENA CACERES JUAN ALBERTO</t>
  </si>
  <si>
    <t>BENITEZ CANO LARIZA BELEN</t>
  </si>
  <si>
    <t>VILLAR DUARTE IGNACIO ANDRES</t>
  </si>
  <si>
    <t>PEREIRA MARTINEZ JOSUE NICOLAS</t>
  </si>
  <si>
    <t>MAIDANA JARA GERARDO DANIEL</t>
  </si>
  <si>
    <t>ESCOBAR ESCOBAR LIZ ADRIANA</t>
  </si>
  <si>
    <t>GIMENEZ LOPEZ ISMAEL ISAAC</t>
  </si>
  <si>
    <t>FERNANDEZ FACCIOLI GUILLERMO DANIEL</t>
  </si>
  <si>
    <t>VILLALBA MEAURIO MARIA YSABELA</t>
  </si>
  <si>
    <t>TORRES RAMIREZ FRANCO SAMUEL</t>
  </si>
  <si>
    <t>GAVILAN NAVARRO HECTOR JOSE</t>
  </si>
  <si>
    <t>PATIÑO ARAUJO TOBIAS DE JESUS</t>
  </si>
  <si>
    <t>BENITEZ ARANDA SEBASTIAN</t>
  </si>
  <si>
    <t>MERNES ROMERO DARIO FIDEL</t>
  </si>
  <si>
    <t>QUINTANA GALEANO EMILIO RAFAEL</t>
  </si>
  <si>
    <t>SILVERO CARDENAS GABRIEL ANDRES</t>
  </si>
  <si>
    <t>LEZCANO ROJAS MARIANA MONSERRATH</t>
  </si>
  <si>
    <t>RIOS ORTEGA ANGEL CECILIO</t>
  </si>
  <si>
    <t>BARRETO GONZALEZ ALEJANDRO HERNAN</t>
  </si>
  <si>
    <t>LOPEZ MOREL MAURO ANIBAL</t>
  </si>
  <si>
    <t xml:space="preserve">CACERES FRANCO CLAUDIA AGUSTINA </t>
  </si>
  <si>
    <t>GONZALEZ AGUILERA FABRIZIO</t>
  </si>
  <si>
    <t>SOSA GONZALEZ KEVIN TOBIAS ABRIAN</t>
  </si>
  <si>
    <t>VILLALBA GONZALEZ NESTOR EZEQUIEL</t>
  </si>
  <si>
    <t>CARDOZO ROJAS PATRICIO DANIEL</t>
  </si>
  <si>
    <t>VERA ROJAS MARIA VICTORIA</t>
  </si>
  <si>
    <t>CHAPARRO BEMITEZ OSCAR DANIEL</t>
  </si>
  <si>
    <t>PEREZ GALEANO FABRIZIO SAMUEL</t>
  </si>
  <si>
    <t>VAZQUEZ RUBEN IGNACIO</t>
  </si>
  <si>
    <t>LOPEZ ACOSTA MAICOL KEVIN</t>
  </si>
  <si>
    <t>PAREDEZ BENITEZ JONATHAN EMANUEL</t>
  </si>
  <si>
    <t>CAREAGA LOPEZ FABRICIO MARCELO</t>
  </si>
  <si>
    <t>FLORENTIN RODRIGUEZ SOFIA ANTONELLA</t>
  </si>
  <si>
    <t>CORONEL VERDUN LUZ MILAGRO</t>
  </si>
  <si>
    <t>AQUINO BENITEZ GUSTAVO FABIAN</t>
  </si>
  <si>
    <t>VILLASANTI GONZALEZ JORGE EMANUEL</t>
  </si>
  <si>
    <t>LOPEZ ANGULO ALAN SEBASTIAN</t>
  </si>
  <si>
    <t>VALLEJOS BASUALDO MATEO NICOLAS</t>
  </si>
  <si>
    <t>RODRIGUEZ VELAZQUEZ LUCAS ABRAHAM</t>
  </si>
  <si>
    <t>ARZA BARBOZA RICARDO SEBASTIAN</t>
  </si>
  <si>
    <t>YAHARI ROA RAUL EZEQUIEL</t>
  </si>
  <si>
    <t>BRITEZ ALVAREZ RICARDO RAFAEL</t>
  </si>
  <si>
    <t>ESTECHE CABRAL TOBIAS RODRIGO</t>
  </si>
  <si>
    <t>RODRIGUEZ VAZQUEZ DANIEL</t>
  </si>
  <si>
    <t>CASTELLANO LUGO PILAR EDITH</t>
  </si>
  <si>
    <t>BENITEZ CALCENA LUANA MARIA CELESTE</t>
  </si>
  <si>
    <t>FLOR MARTINEZ AUGUSTO DANIEL</t>
  </si>
  <si>
    <t>ORTIGOZA REZQUIN CECILIA ELIANA</t>
  </si>
  <si>
    <t>VERA FERREIRA ANA PAULA MARIA DEL MAR</t>
  </si>
  <si>
    <t>RIVAS INSFRAN ADRIEL SEBASTIAN</t>
  </si>
  <si>
    <t>SOSA VALLEJOS ALENJANDRO SEBASTIAN</t>
  </si>
  <si>
    <t>LOPEZ MARTINEZ MAURICIO</t>
  </si>
  <si>
    <t>CARDOZO BENITEZ GUILLERMO SAMUEL</t>
  </si>
  <si>
    <t>SANABRIA FERNANDEZ WILLIAM DANIEL</t>
  </si>
  <si>
    <t>FERNANDEZ GONZALEZ GABRIELA MONSERRAT</t>
  </si>
  <si>
    <t xml:space="preserve">GOMEZ RIVEROS DANIEL VALENTIN </t>
  </si>
  <si>
    <t>MENDOZA CHAVEZ ELIAS GABRIEL</t>
  </si>
  <si>
    <t>CANO PEDROZO VALERIA ABIGAIL</t>
  </si>
  <si>
    <t>CESPEDES MOREIRA OLGA SOFIA</t>
  </si>
  <si>
    <t>FIORI ROJO BRUNO IMANOL</t>
  </si>
  <si>
    <t>OJEDA RODRIGUEZ LEONARDO JAVIER</t>
  </si>
  <si>
    <t>BENITEZ GIMENEZ CLEVER ELIAN</t>
  </si>
  <si>
    <t>ORREGO GONZALEZ ANDREA FABIANA</t>
  </si>
  <si>
    <t xml:space="preserve">GONZALEZ MAGGIE </t>
  </si>
  <si>
    <t>BELLINO CATTEBEKE IVONE ARACELI</t>
  </si>
  <si>
    <t>AMARILLA ESQUIBEL FRANCO EZEQUIEL</t>
  </si>
  <si>
    <t>VERGARA ORTEGA ISIDRO NICOLAS</t>
  </si>
  <si>
    <t>PAEZ JOAQUIN MATIAS</t>
  </si>
  <si>
    <t>MARTINEZ MEZA LUIS ANGEL</t>
  </si>
  <si>
    <t>GONZALEZ RAMIREZ ENZO DAVID</t>
  </si>
  <si>
    <t>MEDINA MOSQUEDA DARIO DAMIAN</t>
  </si>
  <si>
    <t>GONZALEZ FERNANDEZ VERONICA MAGALI</t>
  </si>
  <si>
    <t>FERREIRA ASTORGA MAX DAVID</t>
  </si>
  <si>
    <t xml:space="preserve">ROJAS FERREIRA ISAIAS SAMUEL </t>
  </si>
  <si>
    <t>CORONEL BENITEZ BLAS ESTEBAN</t>
  </si>
  <si>
    <t>PAREDES BARRETO ORLANDO EZEQUIEL</t>
  </si>
  <si>
    <t>FLORENTIN VEGA SARA MARIA JAZMIN</t>
  </si>
  <si>
    <t>OZORIO BENITEZ ENRIQUE DANIEL</t>
  </si>
  <si>
    <t>SANCHEZ AVALOS OSCAR ALEJANDRO</t>
  </si>
  <si>
    <t>VELAZQUEZ ENCISO HUGO RICARDO</t>
  </si>
  <si>
    <t>AGUILERA MENDEZ SERGIO MANUEL</t>
  </si>
  <si>
    <t>OSORIO LEIVA TAHIS SELENE</t>
  </si>
  <si>
    <t>ROJAS ROLON MARCELO DAVID</t>
  </si>
  <si>
    <t>BAEZ ESQUIVEL PAMELA ARAMI</t>
  </si>
  <si>
    <t>SUAREZ QUIÑONEZ FELIPE GASPAR</t>
  </si>
  <si>
    <t>ESCURRA BOGADO NAHIR FAUSTINA</t>
  </si>
  <si>
    <t>URBIETA BARRIOS PAZ AZUCENA</t>
  </si>
  <si>
    <t>DOHMEN BRITEZ OLIVER ISAIAS</t>
  </si>
  <si>
    <t>ARMOA TORALES KATHERINE TERESITA</t>
  </si>
  <si>
    <t>FONSECA MARTIN TOBIAS MANUEL</t>
  </si>
  <si>
    <t>CHENU FLORENTIN BENJAMIN ANDRES</t>
  </si>
  <si>
    <t>BORDABERRY GONZALEZ CESAR ALEJANDRO</t>
  </si>
  <si>
    <t>RIQUELME ESCOBAR ANDRES MATIAS</t>
  </si>
  <si>
    <t xml:space="preserve">VERA DUARTE ORLANDO ADRIAN </t>
  </si>
  <si>
    <t>MOLINAS RAMOS FATIMA JAZMIN</t>
  </si>
  <si>
    <t xml:space="preserve">NOTARIO ALMIRON CECILIA BELEN </t>
  </si>
  <si>
    <t>RUIZ COLMAN ANDREA MARGARITA</t>
  </si>
  <si>
    <t>CHAMORRO CARDOZO SOFIA DEL PILAR</t>
  </si>
  <si>
    <t>RUIZ DIAZ BOVEDA ALEJANDRO JESUS</t>
  </si>
  <si>
    <t>BLANCO YAPARI GABRIELA ISABEL</t>
  </si>
  <si>
    <t>CAMPOS CAÑETE IARA BELEN</t>
  </si>
  <si>
    <t>CASANOVA BENITEZ SABRINA NICOLE</t>
  </si>
  <si>
    <t>MORENO ARRUA ABEL NICOLAS</t>
  </si>
  <si>
    <t>DUARTE GONZALEZ CRISTHIAN GABRIEL</t>
  </si>
  <si>
    <t>GONZALEZ CARDOZO IVAN KOGA</t>
  </si>
  <si>
    <t>ACOSTA ALCARAZ LUCIA ISABEL</t>
  </si>
  <si>
    <t>BENITEZ FERNANDEZ ALEXIS EMANUEL</t>
  </si>
  <si>
    <t>CABALLERO MEDINA MONICA AUXILIADORA</t>
  </si>
  <si>
    <t>LOPEZ CORONEL MELISSA AILEEN</t>
  </si>
  <si>
    <t>DENIS BIANCA CELESTE</t>
  </si>
  <si>
    <t>ADORNO PEREIRA BENJAMIN</t>
  </si>
  <si>
    <t>CORREA RESQUIN ROSSMEL</t>
  </si>
  <si>
    <t>MEZA VERON EVELYN MICAELA</t>
  </si>
  <si>
    <t>JASINSKI MALDONADO DIANA AINOA</t>
  </si>
  <si>
    <t>FERNANDEZ OCAMPOS MARIA BELEN</t>
  </si>
  <si>
    <t>HERRERA OZORIO LUZ ROCIO</t>
  </si>
  <si>
    <t>CARBAJAL ROMERO KATERINE MAGALI</t>
  </si>
  <si>
    <t>TORRES MARIN SANDRA BEATRIZ</t>
  </si>
  <si>
    <t>IBAÑEZ MIRANDA AIDA TERESITA</t>
  </si>
  <si>
    <t>ARZAMENDIA URBIETA FRANCISCO EZEQUIEL</t>
  </si>
  <si>
    <t>NARVAJA MONTANIA VIVIANA JAZMIN</t>
  </si>
  <si>
    <t>CACERES MEDINA LINDA SEIDAD</t>
  </si>
  <si>
    <t>ARMOA GIMENEZ FABRIZIO EZEQUIEL</t>
  </si>
  <si>
    <t>PEDROZO PERALTA SOFIA GUADALUPE</t>
  </si>
  <si>
    <t>SANCHEZ ORTIZ FELIPE</t>
  </si>
  <si>
    <t>MALDONADO DUARTE FATIMA JACKELINE</t>
  </si>
  <si>
    <t>ARGUELLO ALVES SAMIRA ISABEL</t>
  </si>
  <si>
    <t>BRITOS ORTIZ IRIS AURORA</t>
  </si>
  <si>
    <t>JARA MANCUELLO RODRIGO RUBEN</t>
  </si>
  <si>
    <t>OJEDA SANABRIA MILAGRO GABRIELA</t>
  </si>
  <si>
    <t>SILVA GAONA DAHIANA DANIELA</t>
  </si>
  <si>
    <t>DACAK VALDOVINOS LEYLA JAZMIN</t>
  </si>
  <si>
    <t>SABATE DOMINGUEZ MONTSERRAT</t>
  </si>
  <si>
    <t>BARUJA BENITEZ ADAN ALBERTO</t>
  </si>
  <si>
    <t>BUENA MONTIEL REBECA GUADALUPE</t>
  </si>
  <si>
    <t>LEGUIZAMON CORREA PATRICIA BELEN</t>
  </si>
  <si>
    <t>PEREZ CARBALLO MIRTHA SOFIA</t>
  </si>
  <si>
    <t>JARA MOYANO ALAJANDRA NAHIR</t>
  </si>
  <si>
    <t>BOGARIN TANDE INES MARIA FATIMA</t>
  </si>
  <si>
    <t>DOMINGUEZ RUIZ DIAZ GISSELA SOLEDAD</t>
  </si>
  <si>
    <t>LEZCANO GONZALEZ MARIA MILAGROS</t>
  </si>
  <si>
    <t>GAONA BENITEZ YANICE JAZMIN</t>
  </si>
  <si>
    <t>AGÜERO MEDINA EDGAR AGUSTIN</t>
  </si>
  <si>
    <t>CORTTI PEREZ DAYSI MONSERRATH</t>
  </si>
  <si>
    <t>MARTINEZ ARAUJO DARA VANINA</t>
  </si>
  <si>
    <t>RODRIGUEZ BENITEZ ANDREA ISABEL</t>
  </si>
  <si>
    <t>OSORIO LOPEZ VALERIA CELESTE</t>
  </si>
  <si>
    <t>ALVARENGA ALDERETE MARIA FERNANDA</t>
  </si>
  <si>
    <t>TOLEDO CABRERA FABRIZZIO JEREMIAS</t>
  </si>
  <si>
    <t>FRAGA GOMEZ ROCIO NOEMI</t>
  </si>
  <si>
    <t>OVANDO FERNANDEZ ARACELI MONTSERRAT</t>
  </si>
  <si>
    <t>BELOTTO VERGARA GABRIELA NICOLE</t>
  </si>
  <si>
    <t>SOLEY GONZALEZ IVANNA SOPHIA BETHARRAM</t>
  </si>
  <si>
    <t>DOLDAN ROMERO ZOEMNE GUADALUPE</t>
  </si>
  <si>
    <t>MENDIETA GONZALEZ LILIAN ANGELICA</t>
  </si>
  <si>
    <t>ROJAS ROLON GABRIELA SOFIA</t>
  </si>
  <si>
    <t>CABRAL PAEZ MARIA PAZ</t>
  </si>
  <si>
    <t xml:space="preserve">OJEDA ORTIZ LIDICE DAHIANA </t>
  </si>
  <si>
    <t>REYES VILLALBA ABIGAIL ALEXANDRA</t>
  </si>
  <si>
    <t>BARBOZA FERNANDEZ CLAUDIO EMANUEL</t>
  </si>
  <si>
    <t>COSTA NOTARIO REBECA ARACELI</t>
  </si>
  <si>
    <t>DIARTE DIAZ EVELYN MICAELA</t>
  </si>
  <si>
    <t>ZARATE MEZA ELIANE MAGALI</t>
  </si>
  <si>
    <t>GALEANO FERREIRA LIZA BEATRIZ</t>
  </si>
  <si>
    <t>QUINTANA TORRES LINCEY NICOL</t>
  </si>
  <si>
    <t>BELARMINO NOGUERA AMBAR MAGALI</t>
  </si>
  <si>
    <t>LEDESMA ALVARES PAULA MICAELA</t>
  </si>
  <si>
    <t>GODOY CUEVAS PATRICIA FIORELLA</t>
  </si>
  <si>
    <t>ALVAREZ VILLAMAYOR LETICIA BEATRIZ</t>
  </si>
  <si>
    <t>SERVIN ESCURRA LUANA ARACELI</t>
  </si>
  <si>
    <t>BENITEZ SERAFINI SHEILA ABIGAIL</t>
  </si>
  <si>
    <t>BENITEZ ESTIGARRIBIA MONSERRAT ARAMI</t>
  </si>
  <si>
    <t>MAIDANA ORTIZ BIANCA JAZMIN</t>
  </si>
  <si>
    <t>INSFRAN PEREZ GABRIELA MAGDALENA</t>
  </si>
  <si>
    <t>GAETTE MALDONADO LISSHA FIORELLA</t>
  </si>
  <si>
    <t>VALDEZ  CUENCA SOFIA BELEN</t>
  </si>
  <si>
    <t>DAVALOS DUARTE CYNTHIA GUADALUPE</t>
  </si>
  <si>
    <t>ARAUJO CARDOZO LUZ ANAHI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</si>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</sst>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4"/>
      <color rgb="FF565656"/>
      <name val="Roboto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164" fontId="3" fillId="0" borderId="7" xfId="1" applyNumberFormat="1" applyFont="1" applyFill="1" applyBorder="1" applyAlignment="1" applyProtection="1">
      <alignment horizontal="center" vertical="center" wrapText="1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64" fontId="2" fillId="0" borderId="7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baseColWidth="10" defaultRowHeight="15"/>
  <cols>
    <col min="1" max="1" width="3.5703125" bestFit="1" customWidth="1"/>
    <col min="2" max="2" width="47.28515625" customWidth="1"/>
    <col min="3" max="3" width="9.5703125" customWidth="1"/>
    <col min="4" max="6" width="5.7109375" customWidth="1"/>
    <col min="7" max="11" width="6.7109375" customWidth="1"/>
  </cols>
  <sheetData>
    <row r="1" spans="1:11">
      <c r="A1" s="33" t="s">
        <v>565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>
      <c r="A4" s="33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15.75">
      <c r="A5" s="35" t="s">
        <v>22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35.1" customHeight="1">
      <c r="A6" s="36" t="s">
        <v>2</v>
      </c>
      <c r="B6" s="36" t="s">
        <v>3</v>
      </c>
      <c r="C6" s="37" t="s">
        <v>4</v>
      </c>
      <c r="D6" s="38" t="s">
        <v>5</v>
      </c>
      <c r="E6" s="38"/>
      <c r="F6" s="38"/>
      <c r="G6" s="28" t="s">
        <v>6</v>
      </c>
      <c r="H6" s="26" t="s">
        <v>7</v>
      </c>
      <c r="I6" s="27"/>
      <c r="J6" s="28" t="s">
        <v>8</v>
      </c>
      <c r="K6" s="28" t="s">
        <v>9</v>
      </c>
    </row>
    <row r="7" spans="1:11" ht="30" customHeight="1">
      <c r="A7" s="36"/>
      <c r="B7" s="36"/>
      <c r="C7" s="37"/>
      <c r="D7" s="11" t="s">
        <v>10</v>
      </c>
      <c r="E7" s="11" t="s">
        <v>11</v>
      </c>
      <c r="F7" s="11" t="s">
        <v>12</v>
      </c>
      <c r="G7" s="29"/>
      <c r="H7" s="10" t="s">
        <v>13</v>
      </c>
      <c r="I7" s="10" t="s">
        <v>14</v>
      </c>
      <c r="J7" s="29"/>
      <c r="K7" s="29"/>
    </row>
    <row r="8" spans="1:11">
      <c r="A8" s="30" t="s">
        <v>17</v>
      </c>
      <c r="B8" s="31"/>
      <c r="C8" s="3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9" customFormat="1" ht="23.1" customHeight="1">
      <c r="A9" s="19">
        <v>1</v>
      </c>
      <c r="B9" s="14" t="s">
        <v>50</v>
      </c>
      <c r="C9" s="15">
        <v>5434917</v>
      </c>
      <c r="D9" s="16">
        <v>15</v>
      </c>
      <c r="E9" s="16">
        <v>15</v>
      </c>
      <c r="F9" s="16">
        <v>15</v>
      </c>
      <c r="G9" s="17">
        <f t="shared" ref="G9:G36" si="2">SUM(D9:F9)*100/45*0.4</f>
        <v>40</v>
      </c>
      <c r="H9" s="17">
        <v>23</v>
      </c>
      <c r="I9" s="17">
        <v>21</v>
      </c>
      <c r="J9" s="17">
        <f t="shared" ref="J9:J36" si="3">SUM(H9:I9)</f>
        <v>44</v>
      </c>
      <c r="K9" s="17">
        <f t="shared" ref="K9:K36" si="4">G9+J9</f>
        <v>84</v>
      </c>
    </row>
    <row r="10" spans="1:11" s="9" customFormat="1" ht="23.1" customHeight="1">
      <c r="A10" s="19">
        <v>2</v>
      </c>
      <c r="B10" s="14" t="s">
        <v>41</v>
      </c>
      <c r="C10" s="15">
        <v>5423902</v>
      </c>
      <c r="D10" s="16">
        <v>15</v>
      </c>
      <c r="E10" s="16">
        <v>15</v>
      </c>
      <c r="F10" s="16">
        <v>15</v>
      </c>
      <c r="G10" s="17">
        <f t="shared" si="2"/>
        <v>40</v>
      </c>
      <c r="H10" s="17">
        <v>25</v>
      </c>
      <c r="I10" s="17">
        <v>16</v>
      </c>
      <c r="J10" s="17">
        <f t="shared" si="3"/>
        <v>41</v>
      </c>
      <c r="K10" s="17">
        <f t="shared" si="4"/>
        <v>81</v>
      </c>
    </row>
    <row r="11" spans="1:11" s="9" customFormat="1" ht="23.1" customHeight="1">
      <c r="A11" s="19">
        <v>3</v>
      </c>
      <c r="B11" s="14" t="s">
        <v>48</v>
      </c>
      <c r="C11" s="15">
        <v>6167513</v>
      </c>
      <c r="D11" s="16">
        <v>15</v>
      </c>
      <c r="E11" s="16">
        <v>15</v>
      </c>
      <c r="F11" s="16">
        <v>15</v>
      </c>
      <c r="G11" s="17">
        <f t="shared" si="2"/>
        <v>40</v>
      </c>
      <c r="H11" s="17">
        <v>19</v>
      </c>
      <c r="I11" s="17">
        <v>24</v>
      </c>
      <c r="J11" s="17">
        <f t="shared" si="3"/>
        <v>43</v>
      </c>
      <c r="K11" s="17">
        <f t="shared" si="4"/>
        <v>83</v>
      </c>
    </row>
    <row r="12" spans="1:11" s="9" customFormat="1" ht="23.1" customHeight="1">
      <c r="A12" s="19">
        <v>4</v>
      </c>
      <c r="B12" s="14" t="s">
        <v>60</v>
      </c>
      <c r="C12" s="15">
        <v>7882509</v>
      </c>
      <c r="D12" s="16">
        <v>15</v>
      </c>
      <c r="E12" s="16">
        <v>15</v>
      </c>
      <c r="F12" s="16">
        <v>15</v>
      </c>
      <c r="G12" s="17">
        <f t="shared" si="2"/>
        <v>40</v>
      </c>
      <c r="H12" s="17">
        <v>29</v>
      </c>
      <c r="I12" s="17">
        <v>22</v>
      </c>
      <c r="J12" s="17">
        <f t="shared" si="3"/>
        <v>51</v>
      </c>
      <c r="K12" s="17">
        <f t="shared" si="4"/>
        <v>91</v>
      </c>
    </row>
    <row r="13" spans="1:11" s="9" customFormat="1" ht="23.1" customHeight="1">
      <c r="A13" s="19">
        <v>5</v>
      </c>
      <c r="B13" s="14" t="s">
        <v>39</v>
      </c>
      <c r="C13" s="15">
        <v>5333899</v>
      </c>
      <c r="D13" s="16">
        <v>11</v>
      </c>
      <c r="E13" s="16">
        <v>13</v>
      </c>
      <c r="F13" s="16">
        <v>13</v>
      </c>
      <c r="G13" s="17">
        <f t="shared" si="2"/>
        <v>32.888888888888893</v>
      </c>
      <c r="H13" s="17">
        <v>25</v>
      </c>
      <c r="I13" s="17">
        <v>22</v>
      </c>
      <c r="J13" s="17">
        <f t="shared" si="3"/>
        <v>47</v>
      </c>
      <c r="K13" s="17">
        <f t="shared" si="4"/>
        <v>79.888888888888886</v>
      </c>
    </row>
    <row r="14" spans="1:11" s="9" customFormat="1" ht="23.1" customHeight="1">
      <c r="A14" s="19">
        <v>6</v>
      </c>
      <c r="B14" s="14" t="s">
        <v>52</v>
      </c>
      <c r="C14" s="15">
        <v>5530271</v>
      </c>
      <c r="D14" s="15">
        <v>15</v>
      </c>
      <c r="E14" s="15">
        <v>15</v>
      </c>
      <c r="F14" s="15">
        <v>15</v>
      </c>
      <c r="G14" s="17">
        <f t="shared" si="2"/>
        <v>40</v>
      </c>
      <c r="H14" s="17">
        <v>22</v>
      </c>
      <c r="I14" s="17">
        <v>23</v>
      </c>
      <c r="J14" s="17">
        <f t="shared" si="3"/>
        <v>45</v>
      </c>
      <c r="K14" s="17">
        <f t="shared" si="4"/>
        <v>85</v>
      </c>
    </row>
    <row r="15" spans="1:11" s="9" customFormat="1" ht="23.1" customHeight="1">
      <c r="A15" s="19">
        <v>7</v>
      </c>
      <c r="B15" s="14" t="s">
        <v>43</v>
      </c>
      <c r="C15" s="15">
        <v>6728056</v>
      </c>
      <c r="D15" s="16">
        <v>15</v>
      </c>
      <c r="E15" s="16">
        <v>15</v>
      </c>
      <c r="F15" s="16">
        <v>15</v>
      </c>
      <c r="G15" s="17">
        <f t="shared" si="2"/>
        <v>40</v>
      </c>
      <c r="H15" s="17">
        <v>18</v>
      </c>
      <c r="I15" s="17">
        <v>23</v>
      </c>
      <c r="J15" s="17">
        <f t="shared" si="3"/>
        <v>41</v>
      </c>
      <c r="K15" s="17">
        <f t="shared" si="4"/>
        <v>81</v>
      </c>
    </row>
    <row r="16" spans="1:11" s="9" customFormat="1" ht="23.1" customHeight="1">
      <c r="A16" s="19">
        <v>8</v>
      </c>
      <c r="B16" s="14" t="s">
        <v>57</v>
      </c>
      <c r="C16" s="15">
        <v>5145397</v>
      </c>
      <c r="D16" s="16">
        <v>15</v>
      </c>
      <c r="E16" s="16">
        <v>15</v>
      </c>
      <c r="F16" s="16">
        <v>15</v>
      </c>
      <c r="G16" s="17">
        <f t="shared" si="2"/>
        <v>40</v>
      </c>
      <c r="H16" s="17">
        <v>24</v>
      </c>
      <c r="I16" s="17">
        <v>24</v>
      </c>
      <c r="J16" s="17">
        <f t="shared" si="3"/>
        <v>48</v>
      </c>
      <c r="K16" s="17">
        <f t="shared" si="4"/>
        <v>88</v>
      </c>
    </row>
    <row r="17" spans="1:11" s="9" customFormat="1" ht="23.1" customHeight="1">
      <c r="A17" s="19">
        <v>9</v>
      </c>
      <c r="B17" s="14" t="s">
        <v>49</v>
      </c>
      <c r="C17" s="15">
        <v>5478252</v>
      </c>
      <c r="D17" s="16">
        <v>15</v>
      </c>
      <c r="E17" s="16">
        <v>15</v>
      </c>
      <c r="F17" s="16">
        <v>15</v>
      </c>
      <c r="G17" s="17">
        <f t="shared" si="2"/>
        <v>40</v>
      </c>
      <c r="H17" s="17">
        <v>18</v>
      </c>
      <c r="I17" s="17">
        <v>25</v>
      </c>
      <c r="J17" s="17">
        <f t="shared" si="3"/>
        <v>43</v>
      </c>
      <c r="K17" s="17">
        <f t="shared" si="4"/>
        <v>83</v>
      </c>
    </row>
    <row r="18" spans="1:11" s="9" customFormat="1" ht="23.1" customHeight="1">
      <c r="A18" s="19">
        <v>10</v>
      </c>
      <c r="B18" s="14" t="s">
        <v>47</v>
      </c>
      <c r="C18" s="15">
        <v>6258213</v>
      </c>
      <c r="D18" s="16">
        <v>15</v>
      </c>
      <c r="E18" s="16">
        <v>15</v>
      </c>
      <c r="F18" s="16">
        <v>15</v>
      </c>
      <c r="G18" s="17">
        <f t="shared" si="2"/>
        <v>40</v>
      </c>
      <c r="H18" s="17">
        <v>21</v>
      </c>
      <c r="I18" s="17">
        <v>22</v>
      </c>
      <c r="J18" s="17">
        <f t="shared" si="3"/>
        <v>43</v>
      </c>
      <c r="K18" s="17">
        <f t="shared" si="4"/>
        <v>83</v>
      </c>
    </row>
    <row r="19" spans="1:11" s="9" customFormat="1" ht="23.1" customHeight="1">
      <c r="A19" s="19">
        <v>11</v>
      </c>
      <c r="B19" s="14" t="s">
        <v>56</v>
      </c>
      <c r="C19" s="15">
        <v>5334142</v>
      </c>
      <c r="D19" s="16">
        <v>15</v>
      </c>
      <c r="E19" s="16">
        <v>15</v>
      </c>
      <c r="F19" s="16">
        <v>15</v>
      </c>
      <c r="G19" s="17">
        <f t="shared" si="2"/>
        <v>40</v>
      </c>
      <c r="H19" s="17">
        <v>22</v>
      </c>
      <c r="I19" s="17">
        <v>25</v>
      </c>
      <c r="J19" s="17">
        <f t="shared" si="3"/>
        <v>47</v>
      </c>
      <c r="K19" s="17">
        <f t="shared" si="4"/>
        <v>87</v>
      </c>
    </row>
    <row r="20" spans="1:11" s="9" customFormat="1" ht="23.1" customHeight="1">
      <c r="A20" s="19">
        <v>12</v>
      </c>
      <c r="B20" s="14" t="s">
        <v>34</v>
      </c>
      <c r="C20" s="15">
        <v>5965780</v>
      </c>
      <c r="D20" s="16">
        <v>14</v>
      </c>
      <c r="E20" s="16">
        <v>15</v>
      </c>
      <c r="F20" s="16">
        <v>15</v>
      </c>
      <c r="G20" s="17">
        <f t="shared" si="2"/>
        <v>39.111111111111114</v>
      </c>
      <c r="H20" s="17">
        <v>20</v>
      </c>
      <c r="I20" s="17">
        <v>19</v>
      </c>
      <c r="J20" s="17">
        <f t="shared" si="3"/>
        <v>39</v>
      </c>
      <c r="K20" s="17">
        <f t="shared" si="4"/>
        <v>78.111111111111114</v>
      </c>
    </row>
    <row r="21" spans="1:11" s="9" customFormat="1" ht="23.1" customHeight="1">
      <c r="A21" s="19">
        <v>13</v>
      </c>
      <c r="B21" s="14" t="s">
        <v>54</v>
      </c>
      <c r="C21" s="15">
        <v>5770352</v>
      </c>
      <c r="D21" s="15">
        <v>15</v>
      </c>
      <c r="E21" s="15">
        <v>15</v>
      </c>
      <c r="F21" s="15">
        <v>15</v>
      </c>
      <c r="G21" s="17">
        <f t="shared" si="2"/>
        <v>40</v>
      </c>
      <c r="H21" s="17">
        <v>22</v>
      </c>
      <c r="I21" s="17">
        <v>24</v>
      </c>
      <c r="J21" s="17">
        <f t="shared" si="3"/>
        <v>46</v>
      </c>
      <c r="K21" s="17">
        <f t="shared" si="4"/>
        <v>86</v>
      </c>
    </row>
    <row r="22" spans="1:11" s="9" customFormat="1" ht="23.1" customHeight="1">
      <c r="A22" s="19">
        <v>14</v>
      </c>
      <c r="B22" s="14" t="s">
        <v>40</v>
      </c>
      <c r="C22" s="15">
        <v>5555440</v>
      </c>
      <c r="D22" s="16">
        <v>15</v>
      </c>
      <c r="E22" s="16">
        <v>15</v>
      </c>
      <c r="F22" s="16">
        <v>15</v>
      </c>
      <c r="G22" s="17">
        <f t="shared" si="2"/>
        <v>40</v>
      </c>
      <c r="H22" s="17">
        <v>21</v>
      </c>
      <c r="I22" s="17">
        <v>19</v>
      </c>
      <c r="J22" s="17">
        <f t="shared" si="3"/>
        <v>40</v>
      </c>
      <c r="K22" s="17">
        <f t="shared" si="4"/>
        <v>80</v>
      </c>
    </row>
    <row r="23" spans="1:11" s="9" customFormat="1" ht="23.1" customHeight="1">
      <c r="A23" s="19">
        <v>15</v>
      </c>
      <c r="B23" s="14" t="s">
        <v>59</v>
      </c>
      <c r="C23" s="15">
        <v>5763702</v>
      </c>
      <c r="D23" s="16">
        <v>15</v>
      </c>
      <c r="E23" s="16">
        <v>15</v>
      </c>
      <c r="F23" s="16">
        <v>15</v>
      </c>
      <c r="G23" s="17">
        <f t="shared" si="2"/>
        <v>40</v>
      </c>
      <c r="H23" s="17">
        <v>21</v>
      </c>
      <c r="I23" s="17">
        <v>28</v>
      </c>
      <c r="J23" s="17">
        <f t="shared" si="3"/>
        <v>49</v>
      </c>
      <c r="K23" s="17">
        <f t="shared" si="4"/>
        <v>89</v>
      </c>
    </row>
    <row r="24" spans="1:11" s="9" customFormat="1" ht="23.1" customHeight="1">
      <c r="A24" s="19">
        <v>16</v>
      </c>
      <c r="B24" s="14" t="s">
        <v>33</v>
      </c>
      <c r="C24" s="15">
        <v>5181377</v>
      </c>
      <c r="D24" s="16">
        <v>14</v>
      </c>
      <c r="E24" s="16">
        <v>15</v>
      </c>
      <c r="F24" s="16">
        <v>15</v>
      </c>
      <c r="G24" s="17">
        <f t="shared" si="2"/>
        <v>39.111111111111114</v>
      </c>
      <c r="H24" s="17">
        <v>21</v>
      </c>
      <c r="I24" s="17">
        <v>18</v>
      </c>
      <c r="J24" s="17">
        <f t="shared" si="3"/>
        <v>39</v>
      </c>
      <c r="K24" s="17">
        <f t="shared" si="4"/>
        <v>78.111111111111114</v>
      </c>
    </row>
    <row r="25" spans="1:11" s="9" customFormat="1" ht="23.1" customHeight="1">
      <c r="A25" s="19">
        <v>17</v>
      </c>
      <c r="B25" s="14" t="s">
        <v>38</v>
      </c>
      <c r="C25" s="15">
        <v>5626428</v>
      </c>
      <c r="D25" s="15">
        <v>14</v>
      </c>
      <c r="E25" s="15">
        <v>14</v>
      </c>
      <c r="F25" s="15">
        <v>15</v>
      </c>
      <c r="G25" s="17">
        <f t="shared" si="2"/>
        <v>38.222222222222221</v>
      </c>
      <c r="H25" s="17">
        <v>21</v>
      </c>
      <c r="I25" s="17">
        <v>20</v>
      </c>
      <c r="J25" s="17">
        <f t="shared" si="3"/>
        <v>41</v>
      </c>
      <c r="K25" s="17">
        <f t="shared" si="4"/>
        <v>79.222222222222229</v>
      </c>
    </row>
    <row r="26" spans="1:11" s="9" customFormat="1" ht="23.1" customHeight="1">
      <c r="A26" s="19">
        <v>18</v>
      </c>
      <c r="B26" s="14" t="s">
        <v>37</v>
      </c>
      <c r="C26" s="15">
        <v>6006403</v>
      </c>
      <c r="D26" s="16">
        <v>15</v>
      </c>
      <c r="E26" s="16">
        <v>15</v>
      </c>
      <c r="F26" s="16">
        <v>15</v>
      </c>
      <c r="G26" s="17">
        <f t="shared" si="2"/>
        <v>40</v>
      </c>
      <c r="H26" s="17">
        <v>16</v>
      </c>
      <c r="I26" s="17">
        <v>23</v>
      </c>
      <c r="J26" s="17">
        <f t="shared" si="3"/>
        <v>39</v>
      </c>
      <c r="K26" s="17">
        <f t="shared" si="4"/>
        <v>79</v>
      </c>
    </row>
    <row r="27" spans="1:11" s="9" customFormat="1" ht="23.1" customHeight="1">
      <c r="A27" s="19">
        <v>19</v>
      </c>
      <c r="B27" s="14" t="s">
        <v>58</v>
      </c>
      <c r="C27" s="15">
        <v>6155461</v>
      </c>
      <c r="D27" s="16">
        <v>15</v>
      </c>
      <c r="E27" s="16">
        <v>15</v>
      </c>
      <c r="F27" s="16">
        <v>15</v>
      </c>
      <c r="G27" s="17">
        <f t="shared" si="2"/>
        <v>40</v>
      </c>
      <c r="H27" s="17">
        <v>28</v>
      </c>
      <c r="I27" s="17">
        <v>21</v>
      </c>
      <c r="J27" s="17">
        <f t="shared" si="3"/>
        <v>49</v>
      </c>
      <c r="K27" s="17">
        <f t="shared" si="4"/>
        <v>89</v>
      </c>
    </row>
    <row r="28" spans="1:11" s="9" customFormat="1" ht="23.1" customHeight="1">
      <c r="A28" s="19">
        <v>20</v>
      </c>
      <c r="B28" s="14" t="s">
        <v>36</v>
      </c>
      <c r="C28" s="15">
        <v>5690156</v>
      </c>
      <c r="D28" s="16">
        <v>13</v>
      </c>
      <c r="E28" s="16">
        <v>14</v>
      </c>
      <c r="F28" s="16">
        <v>12</v>
      </c>
      <c r="G28" s="17">
        <f t="shared" si="2"/>
        <v>34.666666666666671</v>
      </c>
      <c r="H28" s="17">
        <v>25</v>
      </c>
      <c r="I28" s="17">
        <v>19</v>
      </c>
      <c r="J28" s="17">
        <f t="shared" si="3"/>
        <v>44</v>
      </c>
      <c r="K28" s="17">
        <f t="shared" si="4"/>
        <v>78.666666666666671</v>
      </c>
    </row>
    <row r="29" spans="1:11" s="9" customFormat="1" ht="23.1" customHeight="1">
      <c r="A29" s="19">
        <v>21</v>
      </c>
      <c r="B29" s="14" t="s">
        <v>42</v>
      </c>
      <c r="C29" s="15">
        <v>5660109</v>
      </c>
      <c r="D29" s="16">
        <v>15</v>
      </c>
      <c r="E29" s="16">
        <v>15</v>
      </c>
      <c r="F29" s="16">
        <v>15</v>
      </c>
      <c r="G29" s="17">
        <f t="shared" si="2"/>
        <v>40</v>
      </c>
      <c r="H29" s="17">
        <v>22</v>
      </c>
      <c r="I29" s="17">
        <v>19</v>
      </c>
      <c r="J29" s="17">
        <f t="shared" si="3"/>
        <v>41</v>
      </c>
      <c r="K29" s="17">
        <f t="shared" si="4"/>
        <v>81</v>
      </c>
    </row>
    <row r="30" spans="1:11" s="9" customFormat="1" ht="23.1" customHeight="1">
      <c r="A30" s="19">
        <v>22</v>
      </c>
      <c r="B30" s="14" t="s">
        <v>53</v>
      </c>
      <c r="C30" s="15">
        <v>6044759</v>
      </c>
      <c r="D30" s="15">
        <v>15</v>
      </c>
      <c r="E30" s="15">
        <v>15</v>
      </c>
      <c r="F30" s="15">
        <v>15</v>
      </c>
      <c r="G30" s="17">
        <f t="shared" si="2"/>
        <v>40</v>
      </c>
      <c r="H30" s="17">
        <v>30</v>
      </c>
      <c r="I30" s="17">
        <v>16</v>
      </c>
      <c r="J30" s="17">
        <f t="shared" si="3"/>
        <v>46</v>
      </c>
      <c r="K30" s="17">
        <f t="shared" si="4"/>
        <v>86</v>
      </c>
    </row>
    <row r="31" spans="1:11" s="9" customFormat="1" ht="23.1" customHeight="1">
      <c r="A31" s="19">
        <v>23</v>
      </c>
      <c r="B31" s="14" t="s">
        <v>55</v>
      </c>
      <c r="C31" s="15">
        <v>5216468</v>
      </c>
      <c r="D31" s="16">
        <v>15</v>
      </c>
      <c r="E31" s="16">
        <v>15</v>
      </c>
      <c r="F31" s="16">
        <v>15</v>
      </c>
      <c r="G31" s="17">
        <f t="shared" si="2"/>
        <v>40</v>
      </c>
      <c r="H31" s="17">
        <v>24</v>
      </c>
      <c r="I31" s="17">
        <v>23</v>
      </c>
      <c r="J31" s="17">
        <f t="shared" si="3"/>
        <v>47</v>
      </c>
      <c r="K31" s="17">
        <f t="shared" si="4"/>
        <v>87</v>
      </c>
    </row>
    <row r="32" spans="1:11" s="9" customFormat="1" ht="23.1" customHeight="1">
      <c r="A32" s="19">
        <v>24</v>
      </c>
      <c r="B32" s="14" t="s">
        <v>46</v>
      </c>
      <c r="C32" s="15">
        <v>5770659</v>
      </c>
      <c r="D32" s="16">
        <v>15</v>
      </c>
      <c r="E32" s="16">
        <v>15</v>
      </c>
      <c r="F32" s="16">
        <v>15</v>
      </c>
      <c r="G32" s="17">
        <f t="shared" si="2"/>
        <v>40</v>
      </c>
      <c r="H32" s="17">
        <v>22</v>
      </c>
      <c r="I32" s="17">
        <v>21</v>
      </c>
      <c r="J32" s="17">
        <f t="shared" si="3"/>
        <v>43</v>
      </c>
      <c r="K32" s="17">
        <f t="shared" si="4"/>
        <v>83</v>
      </c>
    </row>
    <row r="33" spans="1:11" s="9" customFormat="1" ht="23.1" customHeight="1">
      <c r="A33" s="19">
        <v>25</v>
      </c>
      <c r="B33" s="14" t="s">
        <v>35</v>
      </c>
      <c r="C33" s="15">
        <v>5664956</v>
      </c>
      <c r="D33" s="15">
        <v>14</v>
      </c>
      <c r="E33" s="15">
        <v>15</v>
      </c>
      <c r="F33" s="15">
        <v>15</v>
      </c>
      <c r="G33" s="17">
        <f t="shared" si="2"/>
        <v>39.111111111111114</v>
      </c>
      <c r="H33" s="17">
        <v>19</v>
      </c>
      <c r="I33" s="17">
        <v>20</v>
      </c>
      <c r="J33" s="17">
        <f t="shared" si="3"/>
        <v>39</v>
      </c>
      <c r="K33" s="17">
        <f t="shared" si="4"/>
        <v>78.111111111111114</v>
      </c>
    </row>
    <row r="34" spans="1:11" s="9" customFormat="1" ht="23.1" customHeight="1">
      <c r="A34" s="19">
        <v>26</v>
      </c>
      <c r="B34" s="14" t="s">
        <v>51</v>
      </c>
      <c r="C34" s="15">
        <v>5703100</v>
      </c>
      <c r="D34" s="16">
        <v>15</v>
      </c>
      <c r="E34" s="16">
        <v>15</v>
      </c>
      <c r="F34" s="16">
        <v>15</v>
      </c>
      <c r="G34" s="17">
        <f t="shared" si="2"/>
        <v>40</v>
      </c>
      <c r="H34" s="17">
        <v>24</v>
      </c>
      <c r="I34" s="17">
        <v>20</v>
      </c>
      <c r="J34" s="17">
        <f t="shared" si="3"/>
        <v>44</v>
      </c>
      <c r="K34" s="17">
        <f t="shared" si="4"/>
        <v>84</v>
      </c>
    </row>
    <row r="35" spans="1:11" s="9" customFormat="1" ht="23.1" customHeight="1">
      <c r="A35" s="19">
        <v>27</v>
      </c>
      <c r="B35" s="14" t="s">
        <v>45</v>
      </c>
      <c r="C35" s="15">
        <v>6153951</v>
      </c>
      <c r="D35" s="16">
        <v>15</v>
      </c>
      <c r="E35" s="16">
        <v>15</v>
      </c>
      <c r="F35" s="16">
        <v>15</v>
      </c>
      <c r="G35" s="17">
        <f t="shared" si="2"/>
        <v>40</v>
      </c>
      <c r="H35" s="17">
        <v>26</v>
      </c>
      <c r="I35" s="17">
        <v>17</v>
      </c>
      <c r="J35" s="17">
        <f t="shared" si="3"/>
        <v>43</v>
      </c>
      <c r="K35" s="17">
        <f t="shared" si="4"/>
        <v>83</v>
      </c>
    </row>
    <row r="36" spans="1:11" s="9" customFormat="1" ht="23.1" customHeight="1">
      <c r="A36" s="19">
        <v>28</v>
      </c>
      <c r="B36" s="14" t="s">
        <v>44</v>
      </c>
      <c r="C36" s="15">
        <v>5335426</v>
      </c>
      <c r="D36" s="16">
        <v>15</v>
      </c>
      <c r="E36" s="16">
        <v>15</v>
      </c>
      <c r="F36" s="16">
        <v>15</v>
      </c>
      <c r="G36" s="17">
        <f t="shared" si="2"/>
        <v>40</v>
      </c>
      <c r="H36" s="17">
        <v>17</v>
      </c>
      <c r="I36" s="17">
        <v>24</v>
      </c>
      <c r="J36" s="17">
        <f t="shared" si="3"/>
        <v>41</v>
      </c>
      <c r="K36" s="17">
        <f t="shared" si="4"/>
        <v>81</v>
      </c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baseColWidth="10" defaultRowHeight="15"/>
  <cols>
    <col min="1" max="1" width="3.5703125" bestFit="1" customWidth="1"/>
    <col min="2" max="2" width="47.28515625" customWidth="1"/>
    <col min="3" max="3" width="11.140625" customWidth="1"/>
    <col min="4" max="6" width="5.7109375" customWidth="1"/>
    <col min="7" max="11" width="6.7109375" customWidth="1"/>
  </cols>
  <sheetData>
    <row r="1" spans="1:11">
      <c r="A1" s="33" t="s">
        <v>565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>
      <c r="A4" s="33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15.75">
      <c r="A5" s="35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35.1" customHeight="1">
      <c r="A6" s="36" t="s">
        <v>2</v>
      </c>
      <c r="B6" s="36" t="s">
        <v>3</v>
      </c>
      <c r="C6" s="37" t="s">
        <v>4</v>
      </c>
      <c r="D6" s="38" t="s">
        <v>5</v>
      </c>
      <c r="E6" s="38"/>
      <c r="F6" s="38"/>
      <c r="G6" s="28" t="s">
        <v>6</v>
      </c>
      <c r="H6" s="26" t="s">
        <v>7</v>
      </c>
      <c r="I6" s="27"/>
      <c r="J6" s="28" t="s">
        <v>8</v>
      </c>
      <c r="K6" s="28" t="s">
        <v>9</v>
      </c>
    </row>
    <row r="7" spans="1:11" ht="30" customHeight="1">
      <c r="A7" s="36"/>
      <c r="B7" s="36"/>
      <c r="C7" s="37"/>
      <c r="D7" s="11" t="s">
        <v>10</v>
      </c>
      <c r="E7" s="11" t="s">
        <v>11</v>
      </c>
      <c r="F7" s="11" t="s">
        <v>12</v>
      </c>
      <c r="G7" s="29"/>
      <c r="H7" s="10" t="s">
        <v>13</v>
      </c>
      <c r="I7" s="10" t="s">
        <v>14</v>
      </c>
      <c r="J7" s="29"/>
      <c r="K7" s="29"/>
    </row>
    <row r="8" spans="1:11">
      <c r="A8" s="30" t="s">
        <v>17</v>
      </c>
      <c r="B8" s="31"/>
      <c r="C8" s="3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9" customFormat="1" ht="23.1" customHeight="1">
      <c r="A9" s="19">
        <v>1</v>
      </c>
      <c r="B9" s="14" t="s">
        <v>69</v>
      </c>
      <c r="C9" s="15">
        <v>5204620</v>
      </c>
      <c r="D9" s="16">
        <v>14</v>
      </c>
      <c r="E9" s="16">
        <v>13</v>
      </c>
      <c r="F9" s="16">
        <v>13</v>
      </c>
      <c r="G9" s="17">
        <f t="shared" ref="G9:G36" si="2">SUM(D9:F9)*100/45*0.4</f>
        <v>35.555555555555557</v>
      </c>
      <c r="H9" s="17">
        <v>17</v>
      </c>
      <c r="I9" s="17">
        <v>24</v>
      </c>
      <c r="J9" s="17">
        <f t="shared" ref="J9:J36" si="3">SUM(H9:I9)</f>
        <v>41</v>
      </c>
      <c r="K9" s="17">
        <f t="shared" ref="K9:K36" si="4">G9+J9</f>
        <v>76.555555555555557</v>
      </c>
    </row>
    <row r="10" spans="1:11" s="9" customFormat="1" ht="23.1" customHeight="1">
      <c r="A10" s="19">
        <v>2</v>
      </c>
      <c r="B10" s="14" t="s">
        <v>68</v>
      </c>
      <c r="C10" s="15">
        <v>6181820</v>
      </c>
      <c r="D10" s="16">
        <v>15</v>
      </c>
      <c r="E10" s="16">
        <v>15</v>
      </c>
      <c r="F10" s="16">
        <v>15</v>
      </c>
      <c r="G10" s="17">
        <f t="shared" si="2"/>
        <v>40</v>
      </c>
      <c r="H10" s="17">
        <v>13</v>
      </c>
      <c r="I10" s="17">
        <v>24</v>
      </c>
      <c r="J10" s="17">
        <f t="shared" si="3"/>
        <v>37</v>
      </c>
      <c r="K10" s="17">
        <f t="shared" si="4"/>
        <v>77</v>
      </c>
    </row>
    <row r="11" spans="1:11" s="9" customFormat="1" ht="23.1" customHeight="1">
      <c r="A11" s="19">
        <v>3</v>
      </c>
      <c r="B11" s="14" t="s">
        <v>73</v>
      </c>
      <c r="C11" s="15">
        <v>5933615</v>
      </c>
      <c r="D11" s="15">
        <v>15</v>
      </c>
      <c r="E11" s="15">
        <v>15</v>
      </c>
      <c r="F11" s="15">
        <v>15</v>
      </c>
      <c r="G11" s="17">
        <f t="shared" si="2"/>
        <v>40</v>
      </c>
      <c r="H11" s="17">
        <v>14</v>
      </c>
      <c r="I11" s="17">
        <v>22</v>
      </c>
      <c r="J11" s="17">
        <f t="shared" si="3"/>
        <v>36</v>
      </c>
      <c r="K11" s="17">
        <f t="shared" si="4"/>
        <v>76</v>
      </c>
    </row>
    <row r="12" spans="1:11" s="9" customFormat="1" ht="23.1" customHeight="1">
      <c r="A12" s="19">
        <v>4</v>
      </c>
      <c r="B12" s="14" t="s">
        <v>62</v>
      </c>
      <c r="C12" s="15">
        <v>7049483</v>
      </c>
      <c r="D12" s="16">
        <v>15</v>
      </c>
      <c r="E12" s="16">
        <v>15</v>
      </c>
      <c r="F12" s="16">
        <v>15</v>
      </c>
      <c r="G12" s="17">
        <f t="shared" si="2"/>
        <v>40</v>
      </c>
      <c r="H12" s="17">
        <v>19</v>
      </c>
      <c r="I12" s="17">
        <v>19</v>
      </c>
      <c r="J12" s="17">
        <f t="shared" si="3"/>
        <v>38</v>
      </c>
      <c r="K12" s="17">
        <f t="shared" si="4"/>
        <v>78</v>
      </c>
    </row>
    <row r="13" spans="1:11" s="9" customFormat="1" ht="23.1" customHeight="1">
      <c r="A13" s="19">
        <v>5</v>
      </c>
      <c r="B13" s="14" t="s">
        <v>67</v>
      </c>
      <c r="C13" s="15">
        <v>5969173</v>
      </c>
      <c r="D13" s="16">
        <v>15</v>
      </c>
      <c r="E13" s="16">
        <v>15</v>
      </c>
      <c r="F13" s="16">
        <v>15</v>
      </c>
      <c r="G13" s="17">
        <f t="shared" si="2"/>
        <v>40</v>
      </c>
      <c r="H13" s="17">
        <v>18</v>
      </c>
      <c r="I13" s="17">
        <v>19</v>
      </c>
      <c r="J13" s="17">
        <f t="shared" si="3"/>
        <v>37</v>
      </c>
      <c r="K13" s="17">
        <f t="shared" si="4"/>
        <v>77</v>
      </c>
    </row>
    <row r="14" spans="1:11" s="9" customFormat="1" ht="23.1" customHeight="1">
      <c r="A14" s="19">
        <v>6</v>
      </c>
      <c r="B14" s="14" t="s">
        <v>63</v>
      </c>
      <c r="C14" s="15">
        <v>5101088</v>
      </c>
      <c r="D14" s="16">
        <v>15</v>
      </c>
      <c r="E14" s="16">
        <v>15</v>
      </c>
      <c r="F14" s="16">
        <v>15</v>
      </c>
      <c r="G14" s="17">
        <f t="shared" si="2"/>
        <v>40</v>
      </c>
      <c r="H14" s="17">
        <v>21</v>
      </c>
      <c r="I14" s="17">
        <v>17</v>
      </c>
      <c r="J14" s="17">
        <f t="shared" si="3"/>
        <v>38</v>
      </c>
      <c r="K14" s="17">
        <f t="shared" si="4"/>
        <v>78</v>
      </c>
    </row>
    <row r="15" spans="1:11" s="9" customFormat="1" ht="23.1" customHeight="1">
      <c r="A15" s="19">
        <v>7</v>
      </c>
      <c r="B15" s="14" t="s">
        <v>74</v>
      </c>
      <c r="C15" s="15">
        <v>6693774</v>
      </c>
      <c r="D15" s="16">
        <v>15</v>
      </c>
      <c r="E15" s="16">
        <v>15</v>
      </c>
      <c r="F15" s="16">
        <v>15</v>
      </c>
      <c r="G15" s="17">
        <f t="shared" si="2"/>
        <v>40</v>
      </c>
      <c r="H15" s="17">
        <v>15</v>
      </c>
      <c r="I15" s="17">
        <v>21</v>
      </c>
      <c r="J15" s="17">
        <f t="shared" si="3"/>
        <v>36</v>
      </c>
      <c r="K15" s="17">
        <f t="shared" si="4"/>
        <v>76</v>
      </c>
    </row>
    <row r="16" spans="1:11" s="9" customFormat="1" ht="23.1" customHeight="1">
      <c r="A16" s="19">
        <v>8</v>
      </c>
      <c r="B16" s="14" t="s">
        <v>61</v>
      </c>
      <c r="C16" s="15">
        <v>7817456</v>
      </c>
      <c r="D16" s="16">
        <v>15</v>
      </c>
      <c r="E16" s="16">
        <v>15</v>
      </c>
      <c r="F16" s="16">
        <v>15</v>
      </c>
      <c r="G16" s="17">
        <f t="shared" si="2"/>
        <v>40</v>
      </c>
      <c r="H16" s="17">
        <v>16</v>
      </c>
      <c r="I16" s="17">
        <v>22</v>
      </c>
      <c r="J16" s="17">
        <f t="shared" si="3"/>
        <v>38</v>
      </c>
      <c r="K16" s="17">
        <f t="shared" si="4"/>
        <v>78</v>
      </c>
    </row>
    <row r="17" spans="1:11" s="9" customFormat="1" ht="23.1" customHeight="1">
      <c r="A17" s="19">
        <v>9</v>
      </c>
      <c r="B17" s="14" t="s">
        <v>75</v>
      </c>
      <c r="C17" s="15">
        <v>5773270</v>
      </c>
      <c r="D17" s="16">
        <v>15</v>
      </c>
      <c r="E17" s="16">
        <v>15</v>
      </c>
      <c r="F17" s="16">
        <v>15</v>
      </c>
      <c r="G17" s="17">
        <f t="shared" si="2"/>
        <v>40</v>
      </c>
      <c r="H17" s="17">
        <v>16</v>
      </c>
      <c r="I17" s="17">
        <v>20</v>
      </c>
      <c r="J17" s="17">
        <f t="shared" si="3"/>
        <v>36</v>
      </c>
      <c r="K17" s="17">
        <f t="shared" si="4"/>
        <v>76</v>
      </c>
    </row>
    <row r="18" spans="1:11" s="9" customFormat="1" ht="23.1" customHeight="1">
      <c r="A18" s="19">
        <v>10</v>
      </c>
      <c r="B18" s="14" t="s">
        <v>76</v>
      </c>
      <c r="C18" s="15">
        <v>6850396</v>
      </c>
      <c r="D18" s="16">
        <v>15</v>
      </c>
      <c r="E18" s="16">
        <v>15</v>
      </c>
      <c r="F18" s="16">
        <v>15</v>
      </c>
      <c r="G18" s="17">
        <f t="shared" si="2"/>
        <v>40</v>
      </c>
      <c r="H18" s="17">
        <v>18</v>
      </c>
      <c r="I18" s="17">
        <v>18</v>
      </c>
      <c r="J18" s="17">
        <f t="shared" si="3"/>
        <v>36</v>
      </c>
      <c r="K18" s="17">
        <f t="shared" si="4"/>
        <v>76</v>
      </c>
    </row>
    <row r="19" spans="1:11" s="9" customFormat="1" ht="23.1" customHeight="1">
      <c r="A19" s="19">
        <v>11</v>
      </c>
      <c r="B19" s="14" t="s">
        <v>66</v>
      </c>
      <c r="C19" s="15">
        <v>7866614</v>
      </c>
      <c r="D19" s="16">
        <v>15</v>
      </c>
      <c r="E19" s="16">
        <v>15</v>
      </c>
      <c r="F19" s="16">
        <v>15</v>
      </c>
      <c r="G19" s="17">
        <f t="shared" si="2"/>
        <v>40</v>
      </c>
      <c r="H19" s="17">
        <v>17</v>
      </c>
      <c r="I19" s="17">
        <v>20</v>
      </c>
      <c r="J19" s="17">
        <f t="shared" si="3"/>
        <v>37</v>
      </c>
      <c r="K19" s="17">
        <f t="shared" si="4"/>
        <v>77</v>
      </c>
    </row>
    <row r="20" spans="1:11" s="9" customFormat="1" ht="23.1" customHeight="1">
      <c r="A20" s="19">
        <v>12</v>
      </c>
      <c r="B20" s="14" t="s">
        <v>84</v>
      </c>
      <c r="C20" s="15">
        <v>5423376</v>
      </c>
      <c r="D20" s="16">
        <v>15</v>
      </c>
      <c r="E20" s="16">
        <v>14</v>
      </c>
      <c r="F20" s="16">
        <v>15</v>
      </c>
      <c r="G20" s="17">
        <f t="shared" si="2"/>
        <v>39.111111111111114</v>
      </c>
      <c r="H20" s="17">
        <v>18</v>
      </c>
      <c r="I20" s="17">
        <v>17</v>
      </c>
      <c r="J20" s="17">
        <f t="shared" si="3"/>
        <v>35</v>
      </c>
      <c r="K20" s="17">
        <f t="shared" si="4"/>
        <v>74.111111111111114</v>
      </c>
    </row>
    <row r="21" spans="1:11" s="9" customFormat="1" ht="23.1" customHeight="1">
      <c r="A21" s="19">
        <v>13</v>
      </c>
      <c r="B21" s="14" t="s">
        <v>88</v>
      </c>
      <c r="C21" s="15">
        <v>6726517</v>
      </c>
      <c r="D21" s="16">
        <v>12</v>
      </c>
      <c r="E21" s="16">
        <v>14</v>
      </c>
      <c r="F21" s="16">
        <v>13</v>
      </c>
      <c r="G21" s="17">
        <f t="shared" si="2"/>
        <v>34.666666666666671</v>
      </c>
      <c r="H21" s="17">
        <v>15</v>
      </c>
      <c r="I21" s="17">
        <v>24</v>
      </c>
      <c r="J21" s="17">
        <f t="shared" si="3"/>
        <v>39</v>
      </c>
      <c r="K21" s="17">
        <f t="shared" si="4"/>
        <v>73.666666666666671</v>
      </c>
    </row>
    <row r="22" spans="1:11" s="9" customFormat="1" ht="23.1" customHeight="1">
      <c r="A22" s="19">
        <v>14</v>
      </c>
      <c r="B22" s="14" t="s">
        <v>72</v>
      </c>
      <c r="C22" s="15">
        <v>5994094</v>
      </c>
      <c r="D22" s="16">
        <v>12</v>
      </c>
      <c r="E22" s="16">
        <v>12</v>
      </c>
      <c r="F22" s="16">
        <v>11</v>
      </c>
      <c r="G22" s="17">
        <f t="shared" si="2"/>
        <v>31.111111111111111</v>
      </c>
      <c r="H22" s="17">
        <v>19</v>
      </c>
      <c r="I22" s="17">
        <v>26</v>
      </c>
      <c r="J22" s="17">
        <f t="shared" si="3"/>
        <v>45</v>
      </c>
      <c r="K22" s="17">
        <f t="shared" si="4"/>
        <v>76.111111111111114</v>
      </c>
    </row>
    <row r="23" spans="1:11" s="9" customFormat="1" ht="23.1" customHeight="1">
      <c r="A23" s="19">
        <v>15</v>
      </c>
      <c r="B23" s="14" t="s">
        <v>80</v>
      </c>
      <c r="C23" s="15">
        <v>6050905</v>
      </c>
      <c r="D23" s="16">
        <v>15</v>
      </c>
      <c r="E23" s="16">
        <v>15</v>
      </c>
      <c r="F23" s="16">
        <v>15</v>
      </c>
      <c r="G23" s="17">
        <f t="shared" si="2"/>
        <v>40</v>
      </c>
      <c r="H23" s="17">
        <v>14</v>
      </c>
      <c r="I23" s="17">
        <v>21</v>
      </c>
      <c r="J23" s="17">
        <f t="shared" si="3"/>
        <v>35</v>
      </c>
      <c r="K23" s="17">
        <f t="shared" si="4"/>
        <v>75</v>
      </c>
    </row>
    <row r="24" spans="1:11" s="9" customFormat="1" ht="23.1" customHeight="1">
      <c r="A24" s="19">
        <v>16</v>
      </c>
      <c r="B24" s="14" t="s">
        <v>64</v>
      </c>
      <c r="C24" s="15">
        <v>5388234</v>
      </c>
      <c r="D24" s="16">
        <v>12</v>
      </c>
      <c r="E24" s="16">
        <v>14</v>
      </c>
      <c r="F24" s="16">
        <v>14</v>
      </c>
      <c r="G24" s="17">
        <f t="shared" si="2"/>
        <v>35.555555555555557</v>
      </c>
      <c r="H24" s="17">
        <v>23</v>
      </c>
      <c r="I24" s="17">
        <v>19</v>
      </c>
      <c r="J24" s="17">
        <f t="shared" si="3"/>
        <v>42</v>
      </c>
      <c r="K24" s="17">
        <f t="shared" si="4"/>
        <v>77.555555555555557</v>
      </c>
    </row>
    <row r="25" spans="1:11" s="9" customFormat="1" ht="23.1" customHeight="1">
      <c r="A25" s="19">
        <v>17</v>
      </c>
      <c r="B25" s="14" t="s">
        <v>81</v>
      </c>
      <c r="C25" s="15">
        <v>5721223</v>
      </c>
      <c r="D25" s="16">
        <v>15</v>
      </c>
      <c r="E25" s="16">
        <v>15</v>
      </c>
      <c r="F25" s="16">
        <v>15</v>
      </c>
      <c r="G25" s="17">
        <f t="shared" si="2"/>
        <v>40</v>
      </c>
      <c r="H25" s="17">
        <v>15</v>
      </c>
      <c r="I25" s="17">
        <v>20</v>
      </c>
      <c r="J25" s="17">
        <f t="shared" si="3"/>
        <v>35</v>
      </c>
      <c r="K25" s="17">
        <f t="shared" si="4"/>
        <v>75</v>
      </c>
    </row>
    <row r="26" spans="1:11" s="9" customFormat="1" ht="23.1" customHeight="1">
      <c r="A26" s="19">
        <v>18</v>
      </c>
      <c r="B26" s="14" t="s">
        <v>86</v>
      </c>
      <c r="C26" s="15">
        <v>5443742</v>
      </c>
      <c r="D26" s="16">
        <v>15</v>
      </c>
      <c r="E26" s="16">
        <v>15</v>
      </c>
      <c r="F26" s="16">
        <v>15</v>
      </c>
      <c r="G26" s="17">
        <f t="shared" si="2"/>
        <v>40</v>
      </c>
      <c r="H26" s="17">
        <v>16</v>
      </c>
      <c r="I26" s="17">
        <v>18</v>
      </c>
      <c r="J26" s="17">
        <f t="shared" si="3"/>
        <v>34</v>
      </c>
      <c r="K26" s="17">
        <f t="shared" si="4"/>
        <v>74</v>
      </c>
    </row>
    <row r="27" spans="1:11" s="9" customFormat="1" ht="23.1" customHeight="1">
      <c r="A27" s="19">
        <v>19</v>
      </c>
      <c r="B27" s="14" t="s">
        <v>71</v>
      </c>
      <c r="C27" s="15">
        <v>6788122</v>
      </c>
      <c r="D27" s="15">
        <v>14</v>
      </c>
      <c r="E27" s="15">
        <v>15</v>
      </c>
      <c r="F27" s="15">
        <v>15</v>
      </c>
      <c r="G27" s="17">
        <f t="shared" si="2"/>
        <v>39.111111111111114</v>
      </c>
      <c r="H27" s="17">
        <v>18</v>
      </c>
      <c r="I27" s="17">
        <v>19</v>
      </c>
      <c r="J27" s="17">
        <f t="shared" si="3"/>
        <v>37</v>
      </c>
      <c r="K27" s="17">
        <f t="shared" si="4"/>
        <v>76.111111111111114</v>
      </c>
    </row>
    <row r="28" spans="1:11" s="9" customFormat="1" ht="23.1" customHeight="1">
      <c r="A28" s="19">
        <v>20</v>
      </c>
      <c r="B28" s="14" t="s">
        <v>70</v>
      </c>
      <c r="C28" s="15">
        <v>5650718</v>
      </c>
      <c r="D28" s="15">
        <v>13</v>
      </c>
      <c r="E28" s="15">
        <v>15</v>
      </c>
      <c r="F28" s="15">
        <v>15</v>
      </c>
      <c r="G28" s="17">
        <f t="shared" si="2"/>
        <v>38.222222222222221</v>
      </c>
      <c r="H28" s="17">
        <v>16</v>
      </c>
      <c r="I28" s="17">
        <v>22</v>
      </c>
      <c r="J28" s="17">
        <f t="shared" si="3"/>
        <v>38</v>
      </c>
      <c r="K28" s="17">
        <f t="shared" si="4"/>
        <v>76.222222222222229</v>
      </c>
    </row>
    <row r="29" spans="1:11" s="9" customFormat="1" ht="23.1" customHeight="1">
      <c r="A29" s="19">
        <v>21</v>
      </c>
      <c r="B29" s="14" t="s">
        <v>83</v>
      </c>
      <c r="C29" s="15">
        <v>6192305</v>
      </c>
      <c r="D29" s="15">
        <v>14</v>
      </c>
      <c r="E29" s="15">
        <v>13</v>
      </c>
      <c r="F29" s="15">
        <v>13</v>
      </c>
      <c r="G29" s="17">
        <f t="shared" si="2"/>
        <v>35.555555555555557</v>
      </c>
      <c r="H29" s="17">
        <v>17</v>
      </c>
      <c r="I29" s="17">
        <v>22</v>
      </c>
      <c r="J29" s="17">
        <f t="shared" si="3"/>
        <v>39</v>
      </c>
      <c r="K29" s="17">
        <f t="shared" si="4"/>
        <v>74.555555555555557</v>
      </c>
    </row>
    <row r="30" spans="1:11" s="9" customFormat="1" ht="23.1" customHeight="1">
      <c r="A30" s="19">
        <v>22</v>
      </c>
      <c r="B30" s="14" t="s">
        <v>87</v>
      </c>
      <c r="C30" s="15">
        <v>5753398</v>
      </c>
      <c r="D30" s="16">
        <v>11</v>
      </c>
      <c r="E30" s="16">
        <v>10</v>
      </c>
      <c r="F30" s="16">
        <v>8</v>
      </c>
      <c r="G30" s="17">
        <f t="shared" si="2"/>
        <v>25.777777777777779</v>
      </c>
      <c r="H30" s="17">
        <v>23</v>
      </c>
      <c r="I30" s="17">
        <v>25</v>
      </c>
      <c r="J30" s="17">
        <f t="shared" si="3"/>
        <v>48</v>
      </c>
      <c r="K30" s="17">
        <f t="shared" si="4"/>
        <v>73.777777777777771</v>
      </c>
    </row>
    <row r="31" spans="1:11" s="9" customFormat="1" ht="23.1" customHeight="1">
      <c r="A31" s="19">
        <v>23</v>
      </c>
      <c r="B31" s="14" t="s">
        <v>78</v>
      </c>
      <c r="C31" s="15">
        <v>5662188</v>
      </c>
      <c r="D31" s="16">
        <v>15</v>
      </c>
      <c r="E31" s="16">
        <v>15</v>
      </c>
      <c r="F31" s="16">
        <v>14</v>
      </c>
      <c r="G31" s="17">
        <f t="shared" si="2"/>
        <v>39.111111111111114</v>
      </c>
      <c r="H31" s="17">
        <v>16</v>
      </c>
      <c r="I31" s="17">
        <v>20</v>
      </c>
      <c r="J31" s="17">
        <f t="shared" si="3"/>
        <v>36</v>
      </c>
      <c r="K31" s="17">
        <f t="shared" si="4"/>
        <v>75.111111111111114</v>
      </c>
    </row>
    <row r="32" spans="1:11" s="9" customFormat="1" ht="23.1" customHeight="1">
      <c r="A32" s="19">
        <v>24</v>
      </c>
      <c r="B32" s="14" t="s">
        <v>65</v>
      </c>
      <c r="C32" s="15">
        <v>5438658</v>
      </c>
      <c r="D32" s="15">
        <v>14</v>
      </c>
      <c r="E32" s="15">
        <v>15</v>
      </c>
      <c r="F32" s="15">
        <v>14</v>
      </c>
      <c r="G32" s="17">
        <f t="shared" si="2"/>
        <v>38.222222222222221</v>
      </c>
      <c r="H32" s="17">
        <v>19</v>
      </c>
      <c r="I32" s="17">
        <v>20</v>
      </c>
      <c r="J32" s="17">
        <f t="shared" si="3"/>
        <v>39</v>
      </c>
      <c r="K32" s="17">
        <f t="shared" si="4"/>
        <v>77.222222222222229</v>
      </c>
    </row>
    <row r="33" spans="1:11" s="9" customFormat="1" ht="23.1" customHeight="1">
      <c r="A33" s="19">
        <v>25</v>
      </c>
      <c r="B33" s="14" t="s">
        <v>82</v>
      </c>
      <c r="C33" s="15">
        <v>6142530</v>
      </c>
      <c r="D33" s="16">
        <v>13</v>
      </c>
      <c r="E33" s="16">
        <v>13</v>
      </c>
      <c r="F33" s="16">
        <v>14</v>
      </c>
      <c r="G33" s="17">
        <f t="shared" si="2"/>
        <v>35.555555555555557</v>
      </c>
      <c r="H33" s="17">
        <v>16</v>
      </c>
      <c r="I33" s="17">
        <v>23</v>
      </c>
      <c r="J33" s="17">
        <f t="shared" si="3"/>
        <v>39</v>
      </c>
      <c r="K33" s="17">
        <f t="shared" si="4"/>
        <v>74.555555555555557</v>
      </c>
    </row>
    <row r="34" spans="1:11" s="9" customFormat="1" ht="23.1" customHeight="1">
      <c r="A34" s="19">
        <v>26</v>
      </c>
      <c r="B34" s="14" t="s">
        <v>77</v>
      </c>
      <c r="C34" s="15">
        <v>8332204</v>
      </c>
      <c r="D34" s="16">
        <v>14</v>
      </c>
      <c r="E34" s="16">
        <v>14</v>
      </c>
      <c r="F34" s="16">
        <v>15</v>
      </c>
      <c r="G34" s="17">
        <f t="shared" si="2"/>
        <v>38.222222222222221</v>
      </c>
      <c r="H34" s="17">
        <v>17</v>
      </c>
      <c r="I34" s="17">
        <v>20</v>
      </c>
      <c r="J34" s="17">
        <f t="shared" si="3"/>
        <v>37</v>
      </c>
      <c r="K34" s="17">
        <f t="shared" si="4"/>
        <v>75.222222222222229</v>
      </c>
    </row>
    <row r="35" spans="1:11" s="9" customFormat="1" ht="23.1" customHeight="1">
      <c r="A35" s="19">
        <v>27</v>
      </c>
      <c r="B35" s="14" t="s">
        <v>85</v>
      </c>
      <c r="C35" s="15">
        <v>6736590</v>
      </c>
      <c r="D35" s="15">
        <v>15</v>
      </c>
      <c r="E35" s="15">
        <v>15</v>
      </c>
      <c r="F35" s="15">
        <v>15</v>
      </c>
      <c r="G35" s="17">
        <f t="shared" si="2"/>
        <v>40</v>
      </c>
      <c r="H35" s="17">
        <v>12</v>
      </c>
      <c r="I35" s="17">
        <v>22</v>
      </c>
      <c r="J35" s="17">
        <f t="shared" si="3"/>
        <v>34</v>
      </c>
      <c r="K35" s="17">
        <f t="shared" si="4"/>
        <v>74</v>
      </c>
    </row>
    <row r="36" spans="1:11" s="9" customFormat="1" ht="23.1" customHeight="1">
      <c r="A36" s="19">
        <v>28</v>
      </c>
      <c r="B36" s="14" t="s">
        <v>79</v>
      </c>
      <c r="C36" s="15">
        <v>5966951</v>
      </c>
      <c r="D36" s="16">
        <v>15</v>
      </c>
      <c r="E36" s="16">
        <v>15</v>
      </c>
      <c r="F36" s="16">
        <v>15</v>
      </c>
      <c r="G36" s="17">
        <f t="shared" si="2"/>
        <v>40</v>
      </c>
      <c r="H36" s="17">
        <v>11</v>
      </c>
      <c r="I36" s="17">
        <v>24</v>
      </c>
      <c r="J36" s="17">
        <f t="shared" si="3"/>
        <v>35</v>
      </c>
      <c r="K36" s="17">
        <f t="shared" si="4"/>
        <v>75</v>
      </c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sqref="A1:K1"/>
    </sheetView>
  </sheetViews>
  <sheetFormatPr baseColWidth="10" defaultRowHeight="15"/>
  <cols>
    <col min="1" max="1" width="4.85546875" bestFit="1" customWidth="1"/>
    <col min="2" max="2" width="47.28515625" customWidth="1"/>
    <col min="3" max="3" width="10.5703125" customWidth="1"/>
    <col min="4" max="6" width="5.7109375" customWidth="1"/>
    <col min="7" max="11" width="6.7109375" customWidth="1"/>
  </cols>
  <sheetData>
    <row r="1" spans="1:13">
      <c r="A1" s="33" t="s">
        <v>565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3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3">
      <c r="A4" s="33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3" ht="15.75">
      <c r="A5" s="35" t="s">
        <v>25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3" ht="35.1" customHeight="1">
      <c r="A6" s="36" t="s">
        <v>2</v>
      </c>
      <c r="B6" s="36" t="s">
        <v>3</v>
      </c>
      <c r="C6" s="37" t="s">
        <v>4</v>
      </c>
      <c r="D6" s="38" t="s">
        <v>5</v>
      </c>
      <c r="E6" s="38"/>
      <c r="F6" s="38"/>
      <c r="G6" s="28" t="s">
        <v>6</v>
      </c>
      <c r="H6" s="26" t="s">
        <v>7</v>
      </c>
      <c r="I6" s="27"/>
      <c r="J6" s="28" t="s">
        <v>8</v>
      </c>
      <c r="K6" s="28" t="s">
        <v>9</v>
      </c>
    </row>
    <row r="7" spans="1:13" ht="30" customHeight="1">
      <c r="A7" s="36"/>
      <c r="B7" s="36"/>
      <c r="C7" s="37"/>
      <c r="D7" s="8" t="s">
        <v>10</v>
      </c>
      <c r="E7" s="8" t="s">
        <v>11</v>
      </c>
      <c r="F7" s="8" t="s">
        <v>12</v>
      </c>
      <c r="G7" s="29"/>
      <c r="H7" s="7" t="s">
        <v>13</v>
      </c>
      <c r="I7" s="7" t="s">
        <v>14</v>
      </c>
      <c r="J7" s="29"/>
      <c r="K7" s="29"/>
    </row>
    <row r="8" spans="1:13">
      <c r="A8" s="30" t="s">
        <v>17</v>
      </c>
      <c r="B8" s="31"/>
      <c r="C8" s="3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3" s="9" customFormat="1" ht="23.1" customHeight="1">
      <c r="A9" s="19">
        <v>1</v>
      </c>
      <c r="B9" s="14" t="s">
        <v>105</v>
      </c>
      <c r="C9" s="15">
        <v>5623651</v>
      </c>
      <c r="D9" s="16">
        <v>15</v>
      </c>
      <c r="E9" s="16">
        <v>15</v>
      </c>
      <c r="F9" s="16">
        <v>13</v>
      </c>
      <c r="G9" s="17">
        <f t="shared" ref="G9:G36" si="2">SUM(D9:F9)*100/45*0.4</f>
        <v>38.222222222222221</v>
      </c>
      <c r="H9" s="17">
        <v>17</v>
      </c>
      <c r="I9" s="17">
        <v>15</v>
      </c>
      <c r="J9" s="17">
        <f t="shared" ref="J9:J36" si="3">SUM(H9:I9)</f>
        <v>32</v>
      </c>
      <c r="K9" s="17">
        <f t="shared" ref="K9:K36" si="4">G9+J9</f>
        <v>70.222222222222229</v>
      </c>
    </row>
    <row r="10" spans="1:13" s="9" customFormat="1" ht="23.1" customHeight="1">
      <c r="A10" s="19">
        <v>2</v>
      </c>
      <c r="B10" s="14" t="s">
        <v>95</v>
      </c>
      <c r="C10" s="15">
        <v>6246470</v>
      </c>
      <c r="D10" s="16">
        <v>15</v>
      </c>
      <c r="E10" s="16">
        <v>15</v>
      </c>
      <c r="F10" s="16">
        <v>15</v>
      </c>
      <c r="G10" s="17">
        <f t="shared" si="2"/>
        <v>40</v>
      </c>
      <c r="H10" s="17">
        <v>15</v>
      </c>
      <c r="I10" s="17">
        <v>18</v>
      </c>
      <c r="J10" s="17">
        <f t="shared" si="3"/>
        <v>33</v>
      </c>
      <c r="K10" s="17">
        <f t="shared" si="4"/>
        <v>73</v>
      </c>
    </row>
    <row r="11" spans="1:13" s="9" customFormat="1" ht="23.1" customHeight="1">
      <c r="A11" s="19">
        <v>3</v>
      </c>
      <c r="B11" s="14" t="s">
        <v>114</v>
      </c>
      <c r="C11" s="15">
        <v>6812697</v>
      </c>
      <c r="D11" s="16">
        <v>15</v>
      </c>
      <c r="E11" s="16">
        <v>15</v>
      </c>
      <c r="F11" s="16">
        <v>15</v>
      </c>
      <c r="G11" s="17">
        <f t="shared" si="2"/>
        <v>40</v>
      </c>
      <c r="H11" s="17">
        <v>11</v>
      </c>
      <c r="I11" s="17">
        <v>18</v>
      </c>
      <c r="J11" s="17">
        <f t="shared" si="3"/>
        <v>29</v>
      </c>
      <c r="K11" s="17">
        <f t="shared" si="4"/>
        <v>69</v>
      </c>
    </row>
    <row r="12" spans="1:13" s="9" customFormat="1" ht="23.1" customHeight="1">
      <c r="A12" s="19">
        <v>4</v>
      </c>
      <c r="B12" s="14" t="s">
        <v>115</v>
      </c>
      <c r="C12" s="15">
        <v>5764566</v>
      </c>
      <c r="D12" s="15">
        <v>15</v>
      </c>
      <c r="E12" s="15">
        <v>15</v>
      </c>
      <c r="F12" s="15">
        <v>15</v>
      </c>
      <c r="G12" s="17">
        <f t="shared" si="2"/>
        <v>40</v>
      </c>
      <c r="H12" s="17">
        <v>11</v>
      </c>
      <c r="I12" s="17">
        <v>18</v>
      </c>
      <c r="J12" s="17">
        <f t="shared" si="3"/>
        <v>29</v>
      </c>
      <c r="K12" s="17">
        <f t="shared" si="4"/>
        <v>69</v>
      </c>
      <c r="M12" s="9" t="s">
        <v>30</v>
      </c>
    </row>
    <row r="13" spans="1:13" s="9" customFormat="1" ht="23.1" customHeight="1">
      <c r="A13" s="19">
        <v>5</v>
      </c>
      <c r="B13" s="14" t="s">
        <v>94</v>
      </c>
      <c r="C13" s="15">
        <v>6056749</v>
      </c>
      <c r="D13" s="15">
        <v>15</v>
      </c>
      <c r="E13" s="15">
        <v>15</v>
      </c>
      <c r="F13" s="15">
        <v>15</v>
      </c>
      <c r="G13" s="17">
        <f t="shared" si="2"/>
        <v>40</v>
      </c>
      <c r="H13" s="17">
        <v>13</v>
      </c>
      <c r="I13" s="17">
        <v>20</v>
      </c>
      <c r="J13" s="17">
        <f t="shared" si="3"/>
        <v>33</v>
      </c>
      <c r="K13" s="17">
        <f t="shared" si="4"/>
        <v>73</v>
      </c>
    </row>
    <row r="14" spans="1:13" s="9" customFormat="1" ht="23.1" customHeight="1">
      <c r="A14" s="19">
        <v>6</v>
      </c>
      <c r="B14" s="14" t="s">
        <v>90</v>
      </c>
      <c r="C14" s="15">
        <v>7650130</v>
      </c>
      <c r="D14" s="16">
        <v>10</v>
      </c>
      <c r="E14" s="16">
        <v>13</v>
      </c>
      <c r="F14" s="16">
        <v>9</v>
      </c>
      <c r="G14" s="17">
        <f t="shared" si="2"/>
        <v>28.444444444444446</v>
      </c>
      <c r="H14" s="17">
        <v>20</v>
      </c>
      <c r="I14" s="17">
        <v>25</v>
      </c>
      <c r="J14" s="17">
        <f t="shared" si="3"/>
        <v>45</v>
      </c>
      <c r="K14" s="17">
        <f t="shared" si="4"/>
        <v>73.444444444444443</v>
      </c>
    </row>
    <row r="15" spans="1:13" s="9" customFormat="1" ht="23.1" customHeight="1">
      <c r="A15" s="19">
        <v>7</v>
      </c>
      <c r="B15" s="14" t="s">
        <v>110</v>
      </c>
      <c r="C15" s="15">
        <v>5707148</v>
      </c>
      <c r="D15" s="16">
        <v>15</v>
      </c>
      <c r="E15" s="16">
        <v>12</v>
      </c>
      <c r="F15" s="16">
        <v>13</v>
      </c>
      <c r="G15" s="17">
        <f t="shared" si="2"/>
        <v>35.555555555555557</v>
      </c>
      <c r="H15" s="17">
        <v>16</v>
      </c>
      <c r="I15" s="17">
        <v>18</v>
      </c>
      <c r="J15" s="17">
        <f t="shared" si="3"/>
        <v>34</v>
      </c>
      <c r="K15" s="17">
        <f t="shared" si="4"/>
        <v>69.555555555555557</v>
      </c>
    </row>
    <row r="16" spans="1:13" s="9" customFormat="1" ht="23.1" customHeight="1">
      <c r="A16" s="19">
        <v>8</v>
      </c>
      <c r="B16" s="14" t="s">
        <v>103</v>
      </c>
      <c r="C16" s="15">
        <v>5174101</v>
      </c>
      <c r="D16" s="15">
        <v>13</v>
      </c>
      <c r="E16" s="15">
        <v>13</v>
      </c>
      <c r="F16" s="15">
        <v>11</v>
      </c>
      <c r="G16" s="17">
        <f t="shared" si="2"/>
        <v>32.888888888888893</v>
      </c>
      <c r="H16" s="17">
        <v>17</v>
      </c>
      <c r="I16" s="17">
        <v>21</v>
      </c>
      <c r="J16" s="17">
        <f t="shared" si="3"/>
        <v>38</v>
      </c>
      <c r="K16" s="17">
        <f t="shared" si="4"/>
        <v>70.888888888888886</v>
      </c>
    </row>
    <row r="17" spans="1:11" s="9" customFormat="1" ht="23.1" customHeight="1">
      <c r="A17" s="19">
        <v>9</v>
      </c>
      <c r="B17" s="14" t="s">
        <v>109</v>
      </c>
      <c r="C17" s="15">
        <v>5509371</v>
      </c>
      <c r="D17" s="16">
        <v>12</v>
      </c>
      <c r="E17" s="16">
        <v>13</v>
      </c>
      <c r="F17" s="16">
        <v>12</v>
      </c>
      <c r="G17" s="17">
        <f t="shared" si="2"/>
        <v>32.888888888888893</v>
      </c>
      <c r="H17" s="17">
        <v>18</v>
      </c>
      <c r="I17" s="17">
        <v>19</v>
      </c>
      <c r="J17" s="17">
        <f t="shared" si="3"/>
        <v>37</v>
      </c>
      <c r="K17" s="17">
        <f t="shared" si="4"/>
        <v>69.888888888888886</v>
      </c>
    </row>
    <row r="18" spans="1:11" s="9" customFormat="1" ht="23.1" customHeight="1">
      <c r="A18" s="19">
        <v>10</v>
      </c>
      <c r="B18" s="14" t="s">
        <v>113</v>
      </c>
      <c r="C18" s="15">
        <v>6184948</v>
      </c>
      <c r="D18" s="16">
        <v>14</v>
      </c>
      <c r="E18" s="16">
        <v>15</v>
      </c>
      <c r="F18" s="16">
        <v>14</v>
      </c>
      <c r="G18" s="17">
        <f t="shared" si="2"/>
        <v>38.222222222222221</v>
      </c>
      <c r="H18" s="17">
        <v>14</v>
      </c>
      <c r="I18" s="17">
        <v>17</v>
      </c>
      <c r="J18" s="17">
        <f t="shared" si="3"/>
        <v>31</v>
      </c>
      <c r="K18" s="17">
        <f t="shared" si="4"/>
        <v>69.222222222222229</v>
      </c>
    </row>
    <row r="19" spans="1:11" s="9" customFormat="1" ht="23.1" customHeight="1">
      <c r="A19" s="19">
        <v>11</v>
      </c>
      <c r="B19" s="14" t="s">
        <v>111</v>
      </c>
      <c r="C19" s="15">
        <v>5536964</v>
      </c>
      <c r="D19" s="15">
        <v>15</v>
      </c>
      <c r="E19" s="15">
        <v>13</v>
      </c>
      <c r="F19" s="15">
        <v>13</v>
      </c>
      <c r="G19" s="17">
        <f t="shared" si="2"/>
        <v>36.44444444444445</v>
      </c>
      <c r="H19" s="17">
        <v>17</v>
      </c>
      <c r="I19" s="17">
        <v>16</v>
      </c>
      <c r="J19" s="17">
        <f t="shared" si="3"/>
        <v>33</v>
      </c>
      <c r="K19" s="17">
        <f t="shared" si="4"/>
        <v>69.444444444444457</v>
      </c>
    </row>
    <row r="20" spans="1:11" s="9" customFormat="1" ht="23.1" customHeight="1">
      <c r="A20" s="19">
        <v>12</v>
      </c>
      <c r="B20" s="14" t="s">
        <v>106</v>
      </c>
      <c r="C20" s="15">
        <v>5265194</v>
      </c>
      <c r="D20" s="16">
        <v>10</v>
      </c>
      <c r="E20" s="16">
        <v>11</v>
      </c>
      <c r="F20" s="16">
        <v>13</v>
      </c>
      <c r="G20" s="17">
        <f t="shared" si="2"/>
        <v>30.222222222222225</v>
      </c>
      <c r="H20" s="17">
        <v>21</v>
      </c>
      <c r="I20" s="17">
        <v>19</v>
      </c>
      <c r="J20" s="17">
        <f t="shared" si="3"/>
        <v>40</v>
      </c>
      <c r="K20" s="17">
        <f t="shared" si="4"/>
        <v>70.222222222222229</v>
      </c>
    </row>
    <row r="21" spans="1:11" s="9" customFormat="1" ht="23.1" customHeight="1">
      <c r="A21" s="19">
        <v>13</v>
      </c>
      <c r="B21" s="14" t="s">
        <v>104</v>
      </c>
      <c r="C21" s="15">
        <v>5351363</v>
      </c>
      <c r="D21" s="16">
        <v>13</v>
      </c>
      <c r="E21" s="16">
        <v>11</v>
      </c>
      <c r="F21" s="16">
        <v>15</v>
      </c>
      <c r="G21" s="17">
        <f t="shared" si="2"/>
        <v>34.666666666666671</v>
      </c>
      <c r="H21" s="17">
        <v>16</v>
      </c>
      <c r="I21" s="17">
        <v>20</v>
      </c>
      <c r="J21" s="17">
        <f t="shared" si="3"/>
        <v>36</v>
      </c>
      <c r="K21" s="17">
        <f t="shared" si="4"/>
        <v>70.666666666666671</v>
      </c>
    </row>
    <row r="22" spans="1:11" s="9" customFormat="1" ht="23.1" customHeight="1">
      <c r="A22" s="19">
        <v>14</v>
      </c>
      <c r="B22" s="14" t="s">
        <v>101</v>
      </c>
      <c r="C22" s="15">
        <v>5687677</v>
      </c>
      <c r="D22" s="16">
        <v>15</v>
      </c>
      <c r="E22" s="16">
        <v>13</v>
      </c>
      <c r="F22" s="16">
        <v>14</v>
      </c>
      <c r="G22" s="17">
        <f t="shared" si="2"/>
        <v>37.333333333333336</v>
      </c>
      <c r="H22" s="17">
        <v>15</v>
      </c>
      <c r="I22" s="17">
        <v>19</v>
      </c>
      <c r="J22" s="17">
        <f t="shared" si="3"/>
        <v>34</v>
      </c>
      <c r="K22" s="17">
        <f t="shared" si="4"/>
        <v>71.333333333333343</v>
      </c>
    </row>
    <row r="23" spans="1:11" s="9" customFormat="1" ht="23.1" customHeight="1">
      <c r="A23" s="19">
        <v>15</v>
      </c>
      <c r="B23" s="14" t="s">
        <v>98</v>
      </c>
      <c r="C23" s="15">
        <v>5239384</v>
      </c>
      <c r="D23" s="16">
        <v>15</v>
      </c>
      <c r="E23" s="16">
        <v>14</v>
      </c>
      <c r="F23" s="16">
        <v>15</v>
      </c>
      <c r="G23" s="17">
        <f t="shared" si="2"/>
        <v>39.111111111111114</v>
      </c>
      <c r="H23" s="17">
        <v>17</v>
      </c>
      <c r="I23" s="17">
        <v>16</v>
      </c>
      <c r="J23" s="17">
        <f t="shared" si="3"/>
        <v>33</v>
      </c>
      <c r="K23" s="17">
        <f t="shared" si="4"/>
        <v>72.111111111111114</v>
      </c>
    </row>
    <row r="24" spans="1:11" s="9" customFormat="1" ht="23.1" customHeight="1">
      <c r="A24" s="19">
        <v>16</v>
      </c>
      <c r="B24" s="14" t="s">
        <v>112</v>
      </c>
      <c r="C24" s="15">
        <v>6132396</v>
      </c>
      <c r="D24" s="16">
        <v>15</v>
      </c>
      <c r="E24" s="16">
        <v>14</v>
      </c>
      <c r="F24" s="16">
        <v>13</v>
      </c>
      <c r="G24" s="17">
        <f t="shared" si="2"/>
        <v>37.333333333333336</v>
      </c>
      <c r="H24" s="17">
        <v>13</v>
      </c>
      <c r="I24" s="17">
        <v>19</v>
      </c>
      <c r="J24" s="17">
        <f t="shared" si="3"/>
        <v>32</v>
      </c>
      <c r="K24" s="17">
        <f t="shared" si="4"/>
        <v>69.333333333333343</v>
      </c>
    </row>
    <row r="25" spans="1:11" s="9" customFormat="1" ht="23.1" customHeight="1">
      <c r="A25" s="19">
        <v>17</v>
      </c>
      <c r="B25" s="14" t="s">
        <v>96</v>
      </c>
      <c r="C25" s="15">
        <v>5224814</v>
      </c>
      <c r="D25" s="16">
        <v>15</v>
      </c>
      <c r="E25" s="16">
        <v>15</v>
      </c>
      <c r="F25" s="16">
        <v>15</v>
      </c>
      <c r="G25" s="17">
        <f t="shared" si="2"/>
        <v>40</v>
      </c>
      <c r="H25" s="17">
        <v>15</v>
      </c>
      <c r="I25" s="17">
        <v>18</v>
      </c>
      <c r="J25" s="17">
        <f t="shared" si="3"/>
        <v>33</v>
      </c>
      <c r="K25" s="17">
        <f t="shared" si="4"/>
        <v>73</v>
      </c>
    </row>
    <row r="26" spans="1:11" s="9" customFormat="1" ht="23.1" customHeight="1">
      <c r="A26" s="19">
        <v>18</v>
      </c>
      <c r="B26" s="14" t="s">
        <v>93</v>
      </c>
      <c r="C26" s="15">
        <v>5406901</v>
      </c>
      <c r="D26" s="15">
        <v>15</v>
      </c>
      <c r="E26" s="15">
        <v>14</v>
      </c>
      <c r="F26" s="15">
        <v>15</v>
      </c>
      <c r="G26" s="17">
        <f t="shared" si="2"/>
        <v>39.111111111111114</v>
      </c>
      <c r="H26" s="17">
        <v>18</v>
      </c>
      <c r="I26" s="17">
        <v>16</v>
      </c>
      <c r="J26" s="17">
        <f t="shared" si="3"/>
        <v>34</v>
      </c>
      <c r="K26" s="17">
        <f t="shared" si="4"/>
        <v>73.111111111111114</v>
      </c>
    </row>
    <row r="27" spans="1:11" s="9" customFormat="1" ht="23.1" customHeight="1">
      <c r="A27" s="19">
        <v>19</v>
      </c>
      <c r="B27" s="14" t="s">
        <v>116</v>
      </c>
      <c r="C27" s="15">
        <v>5811716</v>
      </c>
      <c r="D27" s="16">
        <v>13</v>
      </c>
      <c r="E27" s="16">
        <v>12</v>
      </c>
      <c r="F27" s="16">
        <v>15</v>
      </c>
      <c r="G27" s="17">
        <f t="shared" si="2"/>
        <v>35.555555555555557</v>
      </c>
      <c r="H27" s="17">
        <v>13</v>
      </c>
      <c r="I27" s="17">
        <v>20</v>
      </c>
      <c r="J27" s="17">
        <f t="shared" si="3"/>
        <v>33</v>
      </c>
      <c r="K27" s="17">
        <f t="shared" si="4"/>
        <v>68.555555555555557</v>
      </c>
    </row>
    <row r="28" spans="1:11" s="9" customFormat="1" ht="23.1" customHeight="1">
      <c r="A28" s="19">
        <v>20</v>
      </c>
      <c r="B28" s="14" t="s">
        <v>99</v>
      </c>
      <c r="C28" s="15">
        <v>5187144</v>
      </c>
      <c r="D28" s="16">
        <v>15</v>
      </c>
      <c r="E28" s="16">
        <v>15</v>
      </c>
      <c r="F28" s="16">
        <v>15</v>
      </c>
      <c r="G28" s="17">
        <f t="shared" si="2"/>
        <v>40</v>
      </c>
      <c r="H28" s="17">
        <v>12</v>
      </c>
      <c r="I28" s="17">
        <v>20</v>
      </c>
      <c r="J28" s="17">
        <f t="shared" si="3"/>
        <v>32</v>
      </c>
      <c r="K28" s="17">
        <f t="shared" si="4"/>
        <v>72</v>
      </c>
    </row>
    <row r="29" spans="1:11" s="9" customFormat="1" ht="23.1" customHeight="1">
      <c r="A29" s="19">
        <v>21</v>
      </c>
      <c r="B29" s="14" t="s">
        <v>102</v>
      </c>
      <c r="C29" s="15">
        <v>5414333</v>
      </c>
      <c r="D29" s="15">
        <v>14</v>
      </c>
      <c r="E29" s="15">
        <v>15</v>
      </c>
      <c r="F29" s="15">
        <v>15</v>
      </c>
      <c r="G29" s="17">
        <f t="shared" si="2"/>
        <v>39.111111111111114</v>
      </c>
      <c r="H29" s="17">
        <v>14</v>
      </c>
      <c r="I29" s="17">
        <v>18</v>
      </c>
      <c r="J29" s="17">
        <f t="shared" si="3"/>
        <v>32</v>
      </c>
      <c r="K29" s="17">
        <f t="shared" si="4"/>
        <v>71.111111111111114</v>
      </c>
    </row>
    <row r="30" spans="1:11" s="9" customFormat="1" ht="23.1" customHeight="1">
      <c r="A30" s="19">
        <v>22</v>
      </c>
      <c r="B30" s="14" t="s">
        <v>92</v>
      </c>
      <c r="C30" s="15">
        <v>5497365</v>
      </c>
      <c r="D30" s="15">
        <v>14</v>
      </c>
      <c r="E30" s="15">
        <v>15</v>
      </c>
      <c r="F30" s="15">
        <v>14</v>
      </c>
      <c r="G30" s="17">
        <f t="shared" si="2"/>
        <v>38.222222222222221</v>
      </c>
      <c r="H30" s="17">
        <v>15</v>
      </c>
      <c r="I30" s="17">
        <v>20</v>
      </c>
      <c r="J30" s="17">
        <f t="shared" si="3"/>
        <v>35</v>
      </c>
      <c r="K30" s="17">
        <f t="shared" si="4"/>
        <v>73.222222222222229</v>
      </c>
    </row>
    <row r="31" spans="1:11" s="9" customFormat="1" ht="23.1" customHeight="1">
      <c r="A31" s="19">
        <v>23</v>
      </c>
      <c r="B31" s="14" t="s">
        <v>89</v>
      </c>
      <c r="C31" s="15">
        <v>7207821</v>
      </c>
      <c r="D31" s="16">
        <v>14</v>
      </c>
      <c r="E31" s="16">
        <v>14</v>
      </c>
      <c r="F31" s="16">
        <v>13</v>
      </c>
      <c r="G31" s="17">
        <f t="shared" si="2"/>
        <v>36.44444444444445</v>
      </c>
      <c r="H31" s="17">
        <v>17</v>
      </c>
      <c r="I31" s="17">
        <v>20</v>
      </c>
      <c r="J31" s="17">
        <f t="shared" si="3"/>
        <v>37</v>
      </c>
      <c r="K31" s="17">
        <f t="shared" si="4"/>
        <v>73.444444444444457</v>
      </c>
    </row>
    <row r="32" spans="1:11" s="9" customFormat="1" ht="23.1" customHeight="1">
      <c r="A32" s="19">
        <v>24</v>
      </c>
      <c r="B32" s="14" t="s">
        <v>97</v>
      </c>
      <c r="C32" s="15">
        <v>5816647</v>
      </c>
      <c r="D32" s="16">
        <v>15</v>
      </c>
      <c r="E32" s="16">
        <v>12</v>
      </c>
      <c r="F32" s="16">
        <v>12</v>
      </c>
      <c r="G32" s="17">
        <f t="shared" si="2"/>
        <v>34.666666666666671</v>
      </c>
      <c r="H32" s="17">
        <v>18</v>
      </c>
      <c r="I32" s="17">
        <v>20</v>
      </c>
      <c r="J32" s="17">
        <f t="shared" si="3"/>
        <v>38</v>
      </c>
      <c r="K32" s="17">
        <f t="shared" si="4"/>
        <v>72.666666666666671</v>
      </c>
    </row>
    <row r="33" spans="1:11" s="9" customFormat="1" ht="23.1" customHeight="1">
      <c r="A33" s="19">
        <v>25</v>
      </c>
      <c r="B33" s="14" t="s">
        <v>91</v>
      </c>
      <c r="C33" s="15">
        <v>5816212</v>
      </c>
      <c r="D33" s="16">
        <v>15</v>
      </c>
      <c r="E33" s="16">
        <v>14</v>
      </c>
      <c r="F33" s="16">
        <v>14</v>
      </c>
      <c r="G33" s="17">
        <f t="shared" si="2"/>
        <v>38.222222222222221</v>
      </c>
      <c r="H33" s="17">
        <v>11</v>
      </c>
      <c r="I33" s="17">
        <v>24</v>
      </c>
      <c r="J33" s="17">
        <f t="shared" si="3"/>
        <v>35</v>
      </c>
      <c r="K33" s="17">
        <f t="shared" si="4"/>
        <v>73.222222222222229</v>
      </c>
    </row>
    <row r="34" spans="1:11" s="9" customFormat="1" ht="23.1" customHeight="1">
      <c r="A34" s="19">
        <v>26</v>
      </c>
      <c r="B34" s="14" t="s">
        <v>107</v>
      </c>
      <c r="C34" s="15">
        <v>5979023</v>
      </c>
      <c r="D34" s="15">
        <v>14</v>
      </c>
      <c r="E34" s="15">
        <v>15</v>
      </c>
      <c r="F34" s="15">
        <v>15</v>
      </c>
      <c r="G34" s="17">
        <f t="shared" si="2"/>
        <v>39.111111111111114</v>
      </c>
      <c r="H34" s="17">
        <v>12</v>
      </c>
      <c r="I34" s="17">
        <v>19</v>
      </c>
      <c r="J34" s="17">
        <f t="shared" si="3"/>
        <v>31</v>
      </c>
      <c r="K34" s="17">
        <f t="shared" si="4"/>
        <v>70.111111111111114</v>
      </c>
    </row>
    <row r="35" spans="1:11" s="9" customFormat="1" ht="23.1" customHeight="1">
      <c r="A35" s="19">
        <v>27</v>
      </c>
      <c r="B35" s="14" t="s">
        <v>100</v>
      </c>
      <c r="C35" s="15">
        <v>5926130</v>
      </c>
      <c r="D35" s="15">
        <v>13</v>
      </c>
      <c r="E35" s="15">
        <v>12</v>
      </c>
      <c r="F35" s="15">
        <v>12</v>
      </c>
      <c r="G35" s="17">
        <f t="shared" si="2"/>
        <v>32.888888888888893</v>
      </c>
      <c r="H35" s="17">
        <v>20</v>
      </c>
      <c r="I35" s="17">
        <v>19</v>
      </c>
      <c r="J35" s="17">
        <f t="shared" si="3"/>
        <v>39</v>
      </c>
      <c r="K35" s="17">
        <f t="shared" si="4"/>
        <v>71.888888888888886</v>
      </c>
    </row>
    <row r="36" spans="1:11" s="9" customFormat="1" ht="23.1" customHeight="1">
      <c r="A36" s="19">
        <v>28</v>
      </c>
      <c r="B36" s="14" t="s">
        <v>108</v>
      </c>
      <c r="C36" s="15">
        <v>5937408</v>
      </c>
      <c r="D36" s="16">
        <v>15</v>
      </c>
      <c r="E36" s="16">
        <v>15</v>
      </c>
      <c r="F36" s="16">
        <v>14</v>
      </c>
      <c r="G36" s="17">
        <f t="shared" si="2"/>
        <v>39.111111111111114</v>
      </c>
      <c r="H36" s="17">
        <v>13</v>
      </c>
      <c r="I36" s="17">
        <v>18</v>
      </c>
      <c r="J36" s="17">
        <f t="shared" si="3"/>
        <v>31</v>
      </c>
      <c r="K36" s="17">
        <f t="shared" si="4"/>
        <v>70.111111111111114</v>
      </c>
    </row>
    <row r="37" spans="1:11">
      <c r="B37" s="12"/>
      <c r="C37" s="12"/>
      <c r="D37" s="12"/>
      <c r="E37" s="12"/>
      <c r="F37" s="12"/>
      <c r="G37" s="12"/>
      <c r="H37" s="12"/>
      <c r="I37" s="12"/>
      <c r="J37" s="12"/>
      <c r="K37" s="12"/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baseColWidth="10" defaultRowHeight="15"/>
  <cols>
    <col min="1" max="1" width="4.85546875" bestFit="1" customWidth="1"/>
    <col min="2" max="2" width="41.5703125" customWidth="1"/>
    <col min="3" max="3" width="10.5703125" bestFit="1" customWidth="1"/>
    <col min="4" max="6" width="5.7109375" customWidth="1"/>
    <col min="7" max="11" width="6.7109375" customWidth="1"/>
  </cols>
  <sheetData>
    <row r="1" spans="1:11">
      <c r="A1" s="33" t="s">
        <v>565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>
      <c r="A4" s="33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15.75">
      <c r="A5" s="35" t="s">
        <v>29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35.1" customHeight="1">
      <c r="A6" s="36" t="s">
        <v>2</v>
      </c>
      <c r="B6" s="36" t="s">
        <v>3</v>
      </c>
      <c r="C6" s="37" t="s">
        <v>4</v>
      </c>
      <c r="D6" s="38" t="s">
        <v>5</v>
      </c>
      <c r="E6" s="38"/>
      <c r="F6" s="38"/>
      <c r="G6" s="28" t="s">
        <v>6</v>
      </c>
      <c r="H6" s="1" t="s">
        <v>7</v>
      </c>
      <c r="I6" s="1" t="s">
        <v>7</v>
      </c>
      <c r="J6" s="28" t="s">
        <v>8</v>
      </c>
      <c r="K6" s="28" t="s">
        <v>9</v>
      </c>
    </row>
    <row r="7" spans="1:11" ht="30" customHeight="1">
      <c r="A7" s="36"/>
      <c r="B7" s="36"/>
      <c r="C7" s="37"/>
      <c r="D7" s="11" t="s">
        <v>10</v>
      </c>
      <c r="E7" s="11" t="s">
        <v>11</v>
      </c>
      <c r="F7" s="11" t="s">
        <v>12</v>
      </c>
      <c r="G7" s="29"/>
      <c r="H7" s="10" t="s">
        <v>13</v>
      </c>
      <c r="I7" s="10" t="s">
        <v>14</v>
      </c>
      <c r="J7" s="29"/>
      <c r="K7" s="29"/>
    </row>
    <row r="8" spans="1:11">
      <c r="A8" s="30" t="s">
        <v>21</v>
      </c>
      <c r="B8" s="31"/>
      <c r="C8" s="3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20" customFormat="1" ht="23.1" customHeight="1">
      <c r="A9" s="19">
        <v>1</v>
      </c>
      <c r="B9" s="18" t="s">
        <v>133</v>
      </c>
      <c r="C9" s="15">
        <v>5934471</v>
      </c>
      <c r="D9" s="16">
        <v>10</v>
      </c>
      <c r="E9" s="16">
        <v>13</v>
      </c>
      <c r="F9" s="16">
        <v>14</v>
      </c>
      <c r="G9" s="17">
        <f t="shared" ref="G9:G36" si="2">SUM(D9:F9)*100/45*0.4</f>
        <v>32.888888888888893</v>
      </c>
      <c r="H9" s="17">
        <v>16</v>
      </c>
      <c r="I9" s="17">
        <v>19</v>
      </c>
      <c r="J9" s="17">
        <f t="shared" ref="J9:J36" si="3">SUM(H9:I9)</f>
        <v>35</v>
      </c>
      <c r="K9" s="17">
        <f t="shared" ref="K9:K36" si="4">G9+J9</f>
        <v>67.888888888888886</v>
      </c>
    </row>
    <row r="10" spans="1:11" s="20" customFormat="1" ht="23.1" customHeight="1">
      <c r="A10" s="19">
        <v>2</v>
      </c>
      <c r="B10" s="18" t="s">
        <v>119</v>
      </c>
      <c r="C10" s="15">
        <v>5467944</v>
      </c>
      <c r="D10" s="16">
        <v>13</v>
      </c>
      <c r="E10" s="16">
        <v>14</v>
      </c>
      <c r="F10" s="16">
        <v>14</v>
      </c>
      <c r="G10" s="17">
        <f t="shared" si="2"/>
        <v>36.44444444444445</v>
      </c>
      <c r="H10" s="17">
        <v>19</v>
      </c>
      <c r="I10" s="17">
        <v>24</v>
      </c>
      <c r="J10" s="17">
        <f t="shared" si="3"/>
        <v>43</v>
      </c>
      <c r="K10" s="17">
        <f t="shared" si="4"/>
        <v>79.444444444444457</v>
      </c>
    </row>
    <row r="11" spans="1:11" s="20" customFormat="1" ht="23.1" customHeight="1">
      <c r="A11" s="19">
        <v>3</v>
      </c>
      <c r="B11" s="18" t="s">
        <v>141</v>
      </c>
      <c r="C11" s="15">
        <v>5388122</v>
      </c>
      <c r="D11" s="16">
        <v>10</v>
      </c>
      <c r="E11" s="16">
        <v>11</v>
      </c>
      <c r="F11" s="16">
        <v>10</v>
      </c>
      <c r="G11" s="17">
        <f t="shared" si="2"/>
        <v>27.555555555555557</v>
      </c>
      <c r="H11" s="17">
        <v>15</v>
      </c>
      <c r="I11" s="17">
        <v>22</v>
      </c>
      <c r="J11" s="17">
        <f t="shared" si="3"/>
        <v>37</v>
      </c>
      <c r="K11" s="17">
        <f t="shared" si="4"/>
        <v>64.555555555555557</v>
      </c>
    </row>
    <row r="12" spans="1:11" s="20" customFormat="1" ht="23.1" customHeight="1">
      <c r="A12" s="19">
        <v>4</v>
      </c>
      <c r="B12" s="18" t="s">
        <v>138</v>
      </c>
      <c r="C12" s="15">
        <v>5707628</v>
      </c>
      <c r="D12" s="16">
        <v>12</v>
      </c>
      <c r="E12" s="16">
        <v>12</v>
      </c>
      <c r="F12" s="16">
        <v>15</v>
      </c>
      <c r="G12" s="17">
        <f t="shared" si="2"/>
        <v>34.666666666666671</v>
      </c>
      <c r="H12" s="17">
        <v>16</v>
      </c>
      <c r="I12" s="17">
        <v>15</v>
      </c>
      <c r="J12" s="17">
        <f t="shared" si="3"/>
        <v>31</v>
      </c>
      <c r="K12" s="17">
        <f t="shared" si="4"/>
        <v>65.666666666666671</v>
      </c>
    </row>
    <row r="13" spans="1:11" s="20" customFormat="1" ht="23.1" customHeight="1">
      <c r="A13" s="19">
        <v>5</v>
      </c>
      <c r="B13" s="18" t="s">
        <v>144</v>
      </c>
      <c r="C13" s="15">
        <v>5726320</v>
      </c>
      <c r="D13" s="16">
        <v>12</v>
      </c>
      <c r="E13" s="16">
        <v>15</v>
      </c>
      <c r="F13" s="16">
        <v>14</v>
      </c>
      <c r="G13" s="17">
        <f t="shared" si="2"/>
        <v>36.44444444444445</v>
      </c>
      <c r="H13" s="17">
        <v>18</v>
      </c>
      <c r="I13" s="17">
        <v>9</v>
      </c>
      <c r="J13" s="17">
        <f t="shared" si="3"/>
        <v>27</v>
      </c>
      <c r="K13" s="17">
        <f t="shared" si="4"/>
        <v>63.44444444444445</v>
      </c>
    </row>
    <row r="14" spans="1:11" s="20" customFormat="1" ht="23.1" customHeight="1">
      <c r="A14" s="19">
        <v>6</v>
      </c>
      <c r="B14" s="18" t="s">
        <v>142</v>
      </c>
      <c r="C14" s="15">
        <v>5727988</v>
      </c>
      <c r="D14" s="16">
        <v>11</v>
      </c>
      <c r="E14" s="16">
        <v>13</v>
      </c>
      <c r="F14" s="16">
        <v>10</v>
      </c>
      <c r="G14" s="17">
        <f t="shared" si="2"/>
        <v>30.222222222222225</v>
      </c>
      <c r="H14" s="17">
        <v>14</v>
      </c>
      <c r="I14" s="17">
        <v>20</v>
      </c>
      <c r="J14" s="17">
        <f t="shared" si="3"/>
        <v>34</v>
      </c>
      <c r="K14" s="17">
        <f t="shared" si="4"/>
        <v>64.222222222222229</v>
      </c>
    </row>
    <row r="15" spans="1:11" s="20" customFormat="1" ht="23.1" customHeight="1">
      <c r="A15" s="19">
        <v>7</v>
      </c>
      <c r="B15" s="18" t="s">
        <v>131</v>
      </c>
      <c r="C15" s="15">
        <v>5728784</v>
      </c>
      <c r="D15" s="16">
        <v>10</v>
      </c>
      <c r="E15" s="16">
        <v>11</v>
      </c>
      <c r="F15" s="16">
        <v>12</v>
      </c>
      <c r="G15" s="17">
        <f t="shared" si="2"/>
        <v>29.333333333333332</v>
      </c>
      <c r="H15" s="17">
        <v>20</v>
      </c>
      <c r="I15" s="17">
        <v>19</v>
      </c>
      <c r="J15" s="17">
        <f t="shared" si="3"/>
        <v>39</v>
      </c>
      <c r="K15" s="17">
        <f t="shared" si="4"/>
        <v>68.333333333333329</v>
      </c>
    </row>
    <row r="16" spans="1:11" s="20" customFormat="1" ht="23.1" customHeight="1">
      <c r="A16" s="19">
        <v>8</v>
      </c>
      <c r="B16" s="18" t="s">
        <v>121</v>
      </c>
      <c r="C16" s="15">
        <v>5612935</v>
      </c>
      <c r="D16" s="16">
        <v>14</v>
      </c>
      <c r="E16" s="16">
        <v>14</v>
      </c>
      <c r="F16" s="16">
        <v>15</v>
      </c>
      <c r="G16" s="17">
        <f t="shared" si="2"/>
        <v>38.222222222222221</v>
      </c>
      <c r="H16" s="17">
        <v>15</v>
      </c>
      <c r="I16" s="17">
        <v>21</v>
      </c>
      <c r="J16" s="17">
        <f t="shared" si="3"/>
        <v>36</v>
      </c>
      <c r="K16" s="17">
        <f t="shared" si="4"/>
        <v>74.222222222222229</v>
      </c>
    </row>
    <row r="17" spans="1:11" s="20" customFormat="1" ht="23.1" customHeight="1">
      <c r="A17" s="19">
        <v>9</v>
      </c>
      <c r="B17" s="18" t="s">
        <v>117</v>
      </c>
      <c r="C17" s="15">
        <v>5443117</v>
      </c>
      <c r="D17" s="16">
        <v>15</v>
      </c>
      <c r="E17" s="16">
        <v>15</v>
      </c>
      <c r="F17" s="16">
        <v>15</v>
      </c>
      <c r="G17" s="17">
        <f t="shared" si="2"/>
        <v>40</v>
      </c>
      <c r="H17" s="17">
        <v>24</v>
      </c>
      <c r="I17" s="17">
        <v>22</v>
      </c>
      <c r="J17" s="17">
        <f t="shared" si="3"/>
        <v>46</v>
      </c>
      <c r="K17" s="17">
        <f t="shared" si="4"/>
        <v>86</v>
      </c>
    </row>
    <row r="18" spans="1:11" s="20" customFormat="1" ht="23.1" customHeight="1">
      <c r="A18" s="19">
        <v>10</v>
      </c>
      <c r="B18" s="18" t="s">
        <v>135</v>
      </c>
      <c r="C18" s="15">
        <v>5888177</v>
      </c>
      <c r="D18" s="16">
        <v>9</v>
      </c>
      <c r="E18" s="16">
        <v>11</v>
      </c>
      <c r="F18" s="16">
        <v>13</v>
      </c>
      <c r="G18" s="17">
        <f t="shared" si="2"/>
        <v>29.333333333333332</v>
      </c>
      <c r="H18" s="17">
        <v>17</v>
      </c>
      <c r="I18" s="17">
        <v>20</v>
      </c>
      <c r="J18" s="17">
        <f t="shared" si="3"/>
        <v>37</v>
      </c>
      <c r="K18" s="17">
        <f t="shared" si="4"/>
        <v>66.333333333333329</v>
      </c>
    </row>
    <row r="19" spans="1:11" s="20" customFormat="1" ht="23.1" customHeight="1">
      <c r="A19" s="19">
        <v>11</v>
      </c>
      <c r="B19" s="18" t="s">
        <v>122</v>
      </c>
      <c r="C19" s="15">
        <v>5694177</v>
      </c>
      <c r="D19" s="16">
        <v>13</v>
      </c>
      <c r="E19" s="16">
        <v>15</v>
      </c>
      <c r="F19" s="16">
        <v>15</v>
      </c>
      <c r="G19" s="17">
        <f t="shared" si="2"/>
        <v>38.222222222222221</v>
      </c>
      <c r="H19" s="17">
        <v>15</v>
      </c>
      <c r="I19" s="17">
        <v>20</v>
      </c>
      <c r="J19" s="17">
        <f t="shared" si="3"/>
        <v>35</v>
      </c>
      <c r="K19" s="17">
        <f t="shared" si="4"/>
        <v>73.222222222222229</v>
      </c>
    </row>
    <row r="20" spans="1:11" s="20" customFormat="1" ht="23.1" customHeight="1">
      <c r="A20" s="19">
        <v>12</v>
      </c>
      <c r="B20" s="18" t="s">
        <v>129</v>
      </c>
      <c r="C20" s="15">
        <v>5728005</v>
      </c>
      <c r="D20" s="16">
        <v>14</v>
      </c>
      <c r="E20" s="16">
        <v>13</v>
      </c>
      <c r="F20" s="16">
        <v>13</v>
      </c>
      <c r="G20" s="17">
        <f t="shared" si="2"/>
        <v>35.555555555555557</v>
      </c>
      <c r="H20" s="17">
        <v>13</v>
      </c>
      <c r="I20" s="17">
        <v>20</v>
      </c>
      <c r="J20" s="17">
        <f t="shared" si="3"/>
        <v>33</v>
      </c>
      <c r="K20" s="17">
        <f t="shared" si="4"/>
        <v>68.555555555555557</v>
      </c>
    </row>
    <row r="21" spans="1:11" s="20" customFormat="1" ht="23.1" customHeight="1">
      <c r="A21" s="19">
        <v>13</v>
      </c>
      <c r="B21" s="18" t="s">
        <v>118</v>
      </c>
      <c r="C21" s="15">
        <v>6183954</v>
      </c>
      <c r="D21" s="16">
        <v>15</v>
      </c>
      <c r="E21" s="16">
        <v>15</v>
      </c>
      <c r="F21" s="16">
        <v>15</v>
      </c>
      <c r="G21" s="17">
        <f t="shared" si="2"/>
        <v>40</v>
      </c>
      <c r="H21" s="17">
        <v>23</v>
      </c>
      <c r="I21" s="17">
        <v>21</v>
      </c>
      <c r="J21" s="17">
        <f t="shared" si="3"/>
        <v>44</v>
      </c>
      <c r="K21" s="17">
        <f t="shared" si="4"/>
        <v>84</v>
      </c>
    </row>
    <row r="22" spans="1:11" s="20" customFormat="1" ht="23.1" customHeight="1">
      <c r="A22" s="19">
        <v>14</v>
      </c>
      <c r="B22" s="18" t="s">
        <v>128</v>
      </c>
      <c r="C22" s="15">
        <v>5386940</v>
      </c>
      <c r="D22" s="16">
        <v>11</v>
      </c>
      <c r="E22" s="16">
        <v>14</v>
      </c>
      <c r="F22" s="16">
        <v>14</v>
      </c>
      <c r="G22" s="17">
        <f t="shared" si="2"/>
        <v>34.666666666666671</v>
      </c>
      <c r="H22" s="17">
        <v>14</v>
      </c>
      <c r="I22" s="17">
        <v>21</v>
      </c>
      <c r="J22" s="17">
        <f t="shared" si="3"/>
        <v>35</v>
      </c>
      <c r="K22" s="17">
        <f t="shared" si="4"/>
        <v>69.666666666666671</v>
      </c>
    </row>
    <row r="23" spans="1:11" s="20" customFormat="1" ht="23.1" customHeight="1">
      <c r="A23" s="19">
        <v>15</v>
      </c>
      <c r="B23" s="18" t="s">
        <v>130</v>
      </c>
      <c r="C23" s="15">
        <v>6330197</v>
      </c>
      <c r="D23" s="16">
        <v>12</v>
      </c>
      <c r="E23" s="16">
        <v>15</v>
      </c>
      <c r="F23" s="16">
        <v>15</v>
      </c>
      <c r="G23" s="17">
        <f t="shared" si="2"/>
        <v>37.333333333333336</v>
      </c>
      <c r="H23" s="17">
        <v>15</v>
      </c>
      <c r="I23" s="17">
        <v>16</v>
      </c>
      <c r="J23" s="17">
        <f t="shared" si="3"/>
        <v>31</v>
      </c>
      <c r="K23" s="17">
        <f t="shared" si="4"/>
        <v>68.333333333333343</v>
      </c>
    </row>
    <row r="24" spans="1:11" s="20" customFormat="1" ht="23.1" customHeight="1">
      <c r="A24" s="19">
        <v>16</v>
      </c>
      <c r="B24" s="18" t="s">
        <v>143</v>
      </c>
      <c r="C24" s="15">
        <v>6711001</v>
      </c>
      <c r="D24" s="16">
        <v>14</v>
      </c>
      <c r="E24" s="16">
        <v>13</v>
      </c>
      <c r="F24" s="16">
        <v>13</v>
      </c>
      <c r="G24" s="17">
        <f t="shared" si="2"/>
        <v>35.555555555555557</v>
      </c>
      <c r="H24" s="17">
        <v>11</v>
      </c>
      <c r="I24" s="17">
        <v>17</v>
      </c>
      <c r="J24" s="17">
        <f t="shared" si="3"/>
        <v>28</v>
      </c>
      <c r="K24" s="17">
        <f t="shared" si="4"/>
        <v>63.555555555555557</v>
      </c>
    </row>
    <row r="25" spans="1:11" s="20" customFormat="1" ht="23.1" customHeight="1">
      <c r="A25" s="19">
        <v>17</v>
      </c>
      <c r="B25" s="18" t="s">
        <v>124</v>
      </c>
      <c r="C25" s="15">
        <v>5461964</v>
      </c>
      <c r="D25" s="16">
        <v>14</v>
      </c>
      <c r="E25" s="16">
        <v>14</v>
      </c>
      <c r="F25" s="16">
        <v>14</v>
      </c>
      <c r="G25" s="17">
        <f t="shared" si="2"/>
        <v>37.333333333333336</v>
      </c>
      <c r="H25" s="17">
        <v>15</v>
      </c>
      <c r="I25" s="17">
        <v>19</v>
      </c>
      <c r="J25" s="17">
        <f t="shared" si="3"/>
        <v>34</v>
      </c>
      <c r="K25" s="17">
        <f t="shared" si="4"/>
        <v>71.333333333333343</v>
      </c>
    </row>
    <row r="26" spans="1:11" s="20" customFormat="1" ht="23.1" customHeight="1">
      <c r="A26" s="19">
        <v>18</v>
      </c>
      <c r="B26" s="18" t="s">
        <v>125</v>
      </c>
      <c r="C26" s="15">
        <v>5594770</v>
      </c>
      <c r="D26" s="16">
        <v>15</v>
      </c>
      <c r="E26" s="16">
        <v>14</v>
      </c>
      <c r="F26" s="16">
        <v>15</v>
      </c>
      <c r="G26" s="17">
        <f t="shared" si="2"/>
        <v>39.111111111111114</v>
      </c>
      <c r="H26" s="17">
        <v>13</v>
      </c>
      <c r="I26" s="17">
        <v>19</v>
      </c>
      <c r="J26" s="17">
        <f t="shared" si="3"/>
        <v>32</v>
      </c>
      <c r="K26" s="17">
        <f t="shared" si="4"/>
        <v>71.111111111111114</v>
      </c>
    </row>
    <row r="27" spans="1:11" s="20" customFormat="1" ht="23.1" customHeight="1">
      <c r="A27" s="19">
        <v>19</v>
      </c>
      <c r="B27" s="18" t="s">
        <v>140</v>
      </c>
      <c r="C27" s="15">
        <v>5292636</v>
      </c>
      <c r="D27" s="16">
        <v>13</v>
      </c>
      <c r="E27" s="16">
        <v>12</v>
      </c>
      <c r="F27" s="16">
        <v>13</v>
      </c>
      <c r="G27" s="17">
        <f t="shared" si="2"/>
        <v>33.777777777777779</v>
      </c>
      <c r="H27" s="17">
        <v>15</v>
      </c>
      <c r="I27" s="17">
        <v>16</v>
      </c>
      <c r="J27" s="17">
        <f t="shared" si="3"/>
        <v>31</v>
      </c>
      <c r="K27" s="17">
        <f t="shared" si="4"/>
        <v>64.777777777777771</v>
      </c>
    </row>
    <row r="28" spans="1:11" s="20" customFormat="1" ht="23.1" customHeight="1">
      <c r="A28" s="19">
        <v>20</v>
      </c>
      <c r="B28" s="18" t="s">
        <v>120</v>
      </c>
      <c r="C28" s="15">
        <v>6143285</v>
      </c>
      <c r="D28" s="16">
        <v>15</v>
      </c>
      <c r="E28" s="16">
        <v>15</v>
      </c>
      <c r="F28" s="16">
        <v>15</v>
      </c>
      <c r="G28" s="17">
        <f t="shared" si="2"/>
        <v>40</v>
      </c>
      <c r="H28" s="17">
        <v>12</v>
      </c>
      <c r="I28" s="17">
        <v>24</v>
      </c>
      <c r="J28" s="17">
        <f t="shared" si="3"/>
        <v>36</v>
      </c>
      <c r="K28" s="17">
        <f t="shared" si="4"/>
        <v>76</v>
      </c>
    </row>
    <row r="29" spans="1:11" s="20" customFormat="1" ht="23.1" customHeight="1">
      <c r="A29" s="19">
        <v>21</v>
      </c>
      <c r="B29" s="18" t="s">
        <v>139</v>
      </c>
      <c r="C29" s="15">
        <v>5241863</v>
      </c>
      <c r="D29" s="16">
        <v>13</v>
      </c>
      <c r="E29" s="16">
        <v>12</v>
      </c>
      <c r="F29" s="16">
        <v>14</v>
      </c>
      <c r="G29" s="17">
        <f t="shared" si="2"/>
        <v>34.666666666666671</v>
      </c>
      <c r="H29" s="17">
        <v>12</v>
      </c>
      <c r="I29" s="17">
        <v>19</v>
      </c>
      <c r="J29" s="17">
        <f t="shared" si="3"/>
        <v>31</v>
      </c>
      <c r="K29" s="17">
        <f t="shared" si="4"/>
        <v>65.666666666666671</v>
      </c>
    </row>
    <row r="30" spans="1:11" s="20" customFormat="1" ht="23.1" customHeight="1">
      <c r="A30" s="19">
        <v>22</v>
      </c>
      <c r="B30" s="18" t="s">
        <v>136</v>
      </c>
      <c r="C30" s="15">
        <v>5323163</v>
      </c>
      <c r="D30" s="16">
        <v>11</v>
      </c>
      <c r="E30" s="16">
        <v>12</v>
      </c>
      <c r="F30" s="16">
        <v>11</v>
      </c>
      <c r="G30" s="17">
        <f t="shared" si="2"/>
        <v>30.222222222222225</v>
      </c>
      <c r="H30" s="17">
        <v>18</v>
      </c>
      <c r="I30" s="17">
        <v>18</v>
      </c>
      <c r="J30" s="17">
        <f t="shared" si="3"/>
        <v>36</v>
      </c>
      <c r="K30" s="17">
        <f t="shared" si="4"/>
        <v>66.222222222222229</v>
      </c>
    </row>
    <row r="31" spans="1:11" s="20" customFormat="1" ht="23.1" customHeight="1">
      <c r="A31" s="19">
        <v>23</v>
      </c>
      <c r="B31" s="18" t="s">
        <v>126</v>
      </c>
      <c r="C31" s="15">
        <v>5447681</v>
      </c>
      <c r="D31" s="16">
        <v>15</v>
      </c>
      <c r="E31" s="16">
        <v>15</v>
      </c>
      <c r="F31" s="16">
        <v>15</v>
      </c>
      <c r="G31" s="17">
        <f t="shared" si="2"/>
        <v>40</v>
      </c>
      <c r="H31" s="17">
        <v>12</v>
      </c>
      <c r="I31" s="17">
        <v>18</v>
      </c>
      <c r="J31" s="17">
        <f t="shared" si="3"/>
        <v>30</v>
      </c>
      <c r="K31" s="17">
        <f t="shared" si="4"/>
        <v>70</v>
      </c>
    </row>
    <row r="32" spans="1:11" s="20" customFormat="1" ht="23.1" customHeight="1">
      <c r="A32" s="19">
        <v>24</v>
      </c>
      <c r="B32" s="18" t="s">
        <v>132</v>
      </c>
      <c r="C32" s="15">
        <v>7630558</v>
      </c>
      <c r="D32" s="16">
        <v>11</v>
      </c>
      <c r="E32" s="16">
        <v>10</v>
      </c>
      <c r="F32" s="16">
        <v>15</v>
      </c>
      <c r="G32" s="17">
        <f t="shared" si="2"/>
        <v>32</v>
      </c>
      <c r="H32" s="17">
        <v>19</v>
      </c>
      <c r="I32" s="17">
        <v>17</v>
      </c>
      <c r="J32" s="17">
        <f t="shared" si="3"/>
        <v>36</v>
      </c>
      <c r="K32" s="17">
        <f t="shared" si="4"/>
        <v>68</v>
      </c>
    </row>
    <row r="33" spans="1:11" s="20" customFormat="1" ht="23.1" customHeight="1">
      <c r="A33" s="19">
        <v>25</v>
      </c>
      <c r="B33" s="18" t="s">
        <v>127</v>
      </c>
      <c r="C33" s="15">
        <v>6249954</v>
      </c>
      <c r="D33" s="16">
        <v>11</v>
      </c>
      <c r="E33" s="16">
        <v>13</v>
      </c>
      <c r="F33" s="16">
        <v>13</v>
      </c>
      <c r="G33" s="17">
        <f t="shared" si="2"/>
        <v>32.888888888888893</v>
      </c>
      <c r="H33" s="17">
        <v>19</v>
      </c>
      <c r="I33" s="17">
        <v>18</v>
      </c>
      <c r="J33" s="17">
        <f t="shared" si="3"/>
        <v>37</v>
      </c>
      <c r="K33" s="17">
        <f t="shared" si="4"/>
        <v>69.888888888888886</v>
      </c>
    </row>
    <row r="34" spans="1:11" s="20" customFormat="1" ht="23.1" customHeight="1">
      <c r="A34" s="19">
        <v>26</v>
      </c>
      <c r="B34" s="18" t="s">
        <v>134</v>
      </c>
      <c r="C34" s="15">
        <v>5378885</v>
      </c>
      <c r="D34" s="16">
        <v>13</v>
      </c>
      <c r="E34" s="16">
        <v>15</v>
      </c>
      <c r="F34" s="16">
        <v>15</v>
      </c>
      <c r="G34" s="17">
        <f t="shared" si="2"/>
        <v>38.222222222222221</v>
      </c>
      <c r="H34" s="17">
        <v>14</v>
      </c>
      <c r="I34" s="17">
        <v>15</v>
      </c>
      <c r="J34" s="17">
        <f t="shared" si="3"/>
        <v>29</v>
      </c>
      <c r="K34" s="17">
        <f t="shared" si="4"/>
        <v>67.222222222222229</v>
      </c>
    </row>
    <row r="35" spans="1:11" s="20" customFormat="1" ht="23.1" customHeight="1">
      <c r="A35" s="19">
        <v>27</v>
      </c>
      <c r="B35" s="18" t="s">
        <v>123</v>
      </c>
      <c r="C35" s="15">
        <v>5202413</v>
      </c>
      <c r="D35" s="16">
        <v>15</v>
      </c>
      <c r="E35" s="16">
        <v>15</v>
      </c>
      <c r="F35" s="16">
        <v>15</v>
      </c>
      <c r="G35" s="17">
        <f t="shared" si="2"/>
        <v>40</v>
      </c>
      <c r="H35" s="17">
        <v>15</v>
      </c>
      <c r="I35" s="17">
        <v>18</v>
      </c>
      <c r="J35" s="17">
        <f t="shared" si="3"/>
        <v>33</v>
      </c>
      <c r="K35" s="17">
        <f t="shared" si="4"/>
        <v>73</v>
      </c>
    </row>
    <row r="36" spans="1:11" s="20" customFormat="1" ht="23.1" customHeight="1">
      <c r="A36" s="19">
        <v>28</v>
      </c>
      <c r="B36" s="18" t="s">
        <v>137</v>
      </c>
      <c r="C36" s="15">
        <v>5388617</v>
      </c>
      <c r="D36" s="16">
        <v>14</v>
      </c>
      <c r="E36" s="16">
        <v>11</v>
      </c>
      <c r="F36" s="16">
        <v>12</v>
      </c>
      <c r="G36" s="17">
        <f t="shared" si="2"/>
        <v>32.888888888888893</v>
      </c>
      <c r="H36" s="17">
        <v>13</v>
      </c>
      <c r="I36" s="17">
        <v>20</v>
      </c>
      <c r="J36" s="17">
        <f t="shared" si="3"/>
        <v>33</v>
      </c>
      <c r="K36" s="17">
        <f t="shared" si="4"/>
        <v>65.888888888888886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O7" sqref="O7"/>
    </sheetView>
  </sheetViews>
  <sheetFormatPr baseColWidth="10" defaultRowHeight="15"/>
  <cols>
    <col min="1" max="1" width="2.5703125" customWidth="1"/>
    <col min="2" max="2" width="2.7109375" bestFit="1" customWidth="1"/>
    <col min="3" max="3" width="46.7109375" style="9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23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6" t="s">
        <v>10</v>
      </c>
      <c r="F7" s="6" t="s">
        <v>11</v>
      </c>
      <c r="G7" s="6" t="s">
        <v>12</v>
      </c>
      <c r="H7" s="29"/>
      <c r="I7" s="5" t="s">
        <v>13</v>
      </c>
      <c r="J7" s="5" t="s">
        <v>14</v>
      </c>
      <c r="K7" s="29"/>
      <c r="L7" s="29"/>
    </row>
    <row r="8" spans="2:12">
      <c r="B8" s="30" t="s">
        <v>21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20" customFormat="1" ht="23.1" customHeight="1">
      <c r="B9" s="19">
        <v>1</v>
      </c>
      <c r="C9" s="18" t="s">
        <v>167</v>
      </c>
      <c r="D9" s="15">
        <v>5231484</v>
      </c>
      <c r="E9" s="16">
        <v>12</v>
      </c>
      <c r="F9" s="16">
        <v>13</v>
      </c>
      <c r="G9" s="16">
        <v>9</v>
      </c>
      <c r="H9" s="17">
        <f t="shared" ref="H9:H36" si="2">SUM(E9:G9)*100/45*0.4</f>
        <v>30.222222222222225</v>
      </c>
      <c r="I9" s="17">
        <v>10</v>
      </c>
      <c r="J9" s="17">
        <v>15</v>
      </c>
      <c r="K9" s="17">
        <f t="shared" ref="K9:K36" si="3">SUM(I9:J9)</f>
        <v>25</v>
      </c>
      <c r="L9" s="17">
        <f t="shared" ref="L9:L36" si="4">H9+K9</f>
        <v>55.222222222222229</v>
      </c>
    </row>
    <row r="10" spans="2:12" s="20" customFormat="1" ht="23.1" customHeight="1">
      <c r="B10" s="19">
        <v>2</v>
      </c>
      <c r="C10" s="18" t="s">
        <v>170</v>
      </c>
      <c r="D10" s="15">
        <v>5290182</v>
      </c>
      <c r="E10" s="16">
        <v>9</v>
      </c>
      <c r="F10" s="16">
        <v>10</v>
      </c>
      <c r="G10" s="16">
        <v>9</v>
      </c>
      <c r="H10" s="17">
        <f t="shared" si="2"/>
        <v>24.888888888888889</v>
      </c>
      <c r="I10" s="17">
        <v>18</v>
      </c>
      <c r="J10" s="17">
        <v>12</v>
      </c>
      <c r="K10" s="17">
        <f t="shared" si="3"/>
        <v>30</v>
      </c>
      <c r="L10" s="17">
        <f t="shared" si="4"/>
        <v>54.888888888888886</v>
      </c>
    </row>
    <row r="11" spans="2:12" s="20" customFormat="1" ht="23.1" customHeight="1">
      <c r="B11" s="19">
        <v>3</v>
      </c>
      <c r="C11" s="18" t="s">
        <v>145</v>
      </c>
      <c r="D11" s="15">
        <v>6022125</v>
      </c>
      <c r="E11" s="16">
        <v>13</v>
      </c>
      <c r="F11" s="16">
        <v>11</v>
      </c>
      <c r="G11" s="16">
        <v>11</v>
      </c>
      <c r="H11" s="17">
        <f t="shared" si="2"/>
        <v>31.111111111111111</v>
      </c>
      <c r="I11" s="17">
        <v>17</v>
      </c>
      <c r="J11" s="17">
        <v>15</v>
      </c>
      <c r="K11" s="17">
        <f t="shared" si="3"/>
        <v>32</v>
      </c>
      <c r="L11" s="17">
        <f t="shared" si="4"/>
        <v>63.111111111111114</v>
      </c>
    </row>
    <row r="12" spans="2:12" s="20" customFormat="1" ht="23.1" customHeight="1">
      <c r="B12" s="19">
        <v>4</v>
      </c>
      <c r="C12" s="18" t="s">
        <v>163</v>
      </c>
      <c r="D12" s="15">
        <v>5482275</v>
      </c>
      <c r="E12" s="16">
        <v>13</v>
      </c>
      <c r="F12" s="16">
        <v>12</v>
      </c>
      <c r="G12" s="16">
        <v>14</v>
      </c>
      <c r="H12" s="17">
        <f t="shared" si="2"/>
        <v>34.666666666666671</v>
      </c>
      <c r="I12" s="17">
        <v>8</v>
      </c>
      <c r="J12" s="17">
        <v>14</v>
      </c>
      <c r="K12" s="17">
        <f t="shared" si="3"/>
        <v>22</v>
      </c>
      <c r="L12" s="17">
        <f t="shared" si="4"/>
        <v>56.666666666666671</v>
      </c>
    </row>
    <row r="13" spans="2:12" s="20" customFormat="1" ht="23.1" customHeight="1">
      <c r="B13" s="19">
        <v>5</v>
      </c>
      <c r="C13" s="18" t="s">
        <v>147</v>
      </c>
      <c r="D13" s="15">
        <v>5362132</v>
      </c>
      <c r="E13" s="16">
        <v>10</v>
      </c>
      <c r="F13" s="16">
        <v>10</v>
      </c>
      <c r="G13" s="16">
        <v>10</v>
      </c>
      <c r="H13" s="17">
        <f t="shared" si="2"/>
        <v>26.666666666666671</v>
      </c>
      <c r="I13" s="17">
        <v>20</v>
      </c>
      <c r="J13" s="17">
        <v>16</v>
      </c>
      <c r="K13" s="17">
        <f t="shared" si="3"/>
        <v>36</v>
      </c>
      <c r="L13" s="17">
        <f t="shared" si="4"/>
        <v>62.666666666666671</v>
      </c>
    </row>
    <row r="14" spans="2:12" s="20" customFormat="1" ht="23.1" customHeight="1">
      <c r="B14" s="19">
        <v>6</v>
      </c>
      <c r="C14" s="18" t="s">
        <v>154</v>
      </c>
      <c r="D14" s="15">
        <v>5408601</v>
      </c>
      <c r="E14" s="16">
        <v>8</v>
      </c>
      <c r="F14" s="16">
        <v>13</v>
      </c>
      <c r="G14" s="16">
        <v>11</v>
      </c>
      <c r="H14" s="17">
        <f t="shared" si="2"/>
        <v>28.444444444444446</v>
      </c>
      <c r="I14" s="17">
        <v>12</v>
      </c>
      <c r="J14" s="17">
        <v>20</v>
      </c>
      <c r="K14" s="17">
        <f t="shared" si="3"/>
        <v>32</v>
      </c>
      <c r="L14" s="17">
        <f t="shared" si="4"/>
        <v>60.444444444444443</v>
      </c>
    </row>
    <row r="15" spans="2:12" s="20" customFormat="1" ht="23.1" customHeight="1">
      <c r="B15" s="19">
        <v>7</v>
      </c>
      <c r="C15" s="18" t="s">
        <v>156</v>
      </c>
      <c r="D15" s="15">
        <v>5708110</v>
      </c>
      <c r="E15" s="16">
        <v>14</v>
      </c>
      <c r="F15" s="16">
        <v>13</v>
      </c>
      <c r="G15" s="16">
        <v>15</v>
      </c>
      <c r="H15" s="17">
        <f t="shared" si="2"/>
        <v>37.333333333333336</v>
      </c>
      <c r="I15" s="17">
        <v>9</v>
      </c>
      <c r="J15" s="17">
        <v>13</v>
      </c>
      <c r="K15" s="17">
        <f t="shared" si="3"/>
        <v>22</v>
      </c>
      <c r="L15" s="17">
        <f t="shared" si="4"/>
        <v>59.333333333333336</v>
      </c>
    </row>
    <row r="16" spans="2:12" s="20" customFormat="1" ht="23.1" customHeight="1">
      <c r="B16" s="19">
        <v>8</v>
      </c>
      <c r="C16" s="18" t="s">
        <v>149</v>
      </c>
      <c r="D16" s="15">
        <v>5689026</v>
      </c>
      <c r="E16" s="16">
        <v>8</v>
      </c>
      <c r="F16" s="16">
        <v>12</v>
      </c>
      <c r="G16" s="16">
        <v>12</v>
      </c>
      <c r="H16" s="17">
        <f t="shared" si="2"/>
        <v>28.444444444444446</v>
      </c>
      <c r="I16" s="17">
        <v>16</v>
      </c>
      <c r="J16" s="17">
        <v>18</v>
      </c>
      <c r="K16" s="17">
        <f t="shared" si="3"/>
        <v>34</v>
      </c>
      <c r="L16" s="17">
        <f t="shared" si="4"/>
        <v>62.444444444444443</v>
      </c>
    </row>
    <row r="17" spans="2:12" s="20" customFormat="1" ht="23.1" customHeight="1">
      <c r="B17" s="19">
        <v>9</v>
      </c>
      <c r="C17" s="18" t="s">
        <v>171</v>
      </c>
      <c r="D17" s="15">
        <v>5707996</v>
      </c>
      <c r="E17" s="16">
        <v>11</v>
      </c>
      <c r="F17" s="16">
        <v>14</v>
      </c>
      <c r="G17" s="16">
        <v>13</v>
      </c>
      <c r="H17" s="17">
        <f t="shared" si="2"/>
        <v>33.777777777777779</v>
      </c>
      <c r="I17" s="17">
        <v>9</v>
      </c>
      <c r="J17" s="17">
        <v>12</v>
      </c>
      <c r="K17" s="17">
        <f t="shared" si="3"/>
        <v>21</v>
      </c>
      <c r="L17" s="17">
        <f t="shared" si="4"/>
        <v>54.777777777777779</v>
      </c>
    </row>
    <row r="18" spans="2:12" s="20" customFormat="1" ht="23.1" customHeight="1">
      <c r="B18" s="19">
        <v>10</v>
      </c>
      <c r="C18" s="18" t="s">
        <v>157</v>
      </c>
      <c r="D18" s="15">
        <v>5888591</v>
      </c>
      <c r="E18" s="16">
        <v>10</v>
      </c>
      <c r="F18" s="16">
        <v>11</v>
      </c>
      <c r="G18" s="16">
        <v>12</v>
      </c>
      <c r="H18" s="17">
        <f t="shared" si="2"/>
        <v>29.333333333333332</v>
      </c>
      <c r="I18" s="17">
        <v>14</v>
      </c>
      <c r="J18" s="17">
        <v>16</v>
      </c>
      <c r="K18" s="17">
        <f t="shared" si="3"/>
        <v>30</v>
      </c>
      <c r="L18" s="17">
        <f t="shared" si="4"/>
        <v>59.333333333333329</v>
      </c>
    </row>
    <row r="19" spans="2:12" s="20" customFormat="1" ht="23.1" customHeight="1">
      <c r="B19" s="19">
        <v>11</v>
      </c>
      <c r="C19" s="18" t="s">
        <v>146</v>
      </c>
      <c r="D19" s="15">
        <v>7087540</v>
      </c>
      <c r="E19" s="16">
        <v>12</v>
      </c>
      <c r="F19" s="16">
        <v>12</v>
      </c>
      <c r="G19" s="16">
        <v>13</v>
      </c>
      <c r="H19" s="17">
        <f t="shared" si="2"/>
        <v>32.888888888888893</v>
      </c>
      <c r="I19" s="17">
        <v>10</v>
      </c>
      <c r="J19" s="17">
        <v>20</v>
      </c>
      <c r="K19" s="17">
        <f t="shared" si="3"/>
        <v>30</v>
      </c>
      <c r="L19" s="17">
        <f t="shared" si="4"/>
        <v>62.888888888888893</v>
      </c>
    </row>
    <row r="20" spans="2:12" s="20" customFormat="1" ht="23.1" customHeight="1">
      <c r="B20" s="19">
        <v>12</v>
      </c>
      <c r="C20" s="18" t="s">
        <v>169</v>
      </c>
      <c r="D20" s="15">
        <v>5773611</v>
      </c>
      <c r="E20" s="16">
        <v>8</v>
      </c>
      <c r="F20" s="16">
        <v>9</v>
      </c>
      <c r="G20" s="16">
        <v>11</v>
      </c>
      <c r="H20" s="17">
        <f t="shared" si="2"/>
        <v>24.888888888888889</v>
      </c>
      <c r="I20" s="17">
        <v>18</v>
      </c>
      <c r="J20" s="17">
        <v>12</v>
      </c>
      <c r="K20" s="17">
        <f t="shared" si="3"/>
        <v>30</v>
      </c>
      <c r="L20" s="17">
        <f t="shared" si="4"/>
        <v>54.888888888888886</v>
      </c>
    </row>
    <row r="21" spans="2:12" s="20" customFormat="1" ht="23.1" customHeight="1">
      <c r="B21" s="19">
        <v>13</v>
      </c>
      <c r="C21" s="18" t="s">
        <v>158</v>
      </c>
      <c r="D21" s="15">
        <v>5728034</v>
      </c>
      <c r="E21" s="16">
        <v>11</v>
      </c>
      <c r="F21" s="16">
        <v>9</v>
      </c>
      <c r="G21" s="16">
        <v>9</v>
      </c>
      <c r="H21" s="17">
        <f t="shared" si="2"/>
        <v>25.777777777777779</v>
      </c>
      <c r="I21" s="17">
        <v>12</v>
      </c>
      <c r="J21" s="17">
        <v>21</v>
      </c>
      <c r="K21" s="17">
        <f t="shared" si="3"/>
        <v>33</v>
      </c>
      <c r="L21" s="17">
        <f t="shared" si="4"/>
        <v>58.777777777777779</v>
      </c>
    </row>
    <row r="22" spans="2:12" s="20" customFormat="1" ht="23.1" customHeight="1">
      <c r="B22" s="19">
        <v>14</v>
      </c>
      <c r="C22" s="18" t="s">
        <v>155</v>
      </c>
      <c r="D22" s="15">
        <v>5481988</v>
      </c>
      <c r="E22" s="16">
        <v>9</v>
      </c>
      <c r="F22" s="16">
        <v>8</v>
      </c>
      <c r="G22" s="16">
        <v>8</v>
      </c>
      <c r="H22" s="17">
        <f t="shared" si="2"/>
        <v>22.222222222222225</v>
      </c>
      <c r="I22" s="17">
        <v>20</v>
      </c>
      <c r="J22" s="17">
        <v>18</v>
      </c>
      <c r="K22" s="17">
        <f t="shared" si="3"/>
        <v>38</v>
      </c>
      <c r="L22" s="17">
        <f t="shared" si="4"/>
        <v>60.222222222222229</v>
      </c>
    </row>
    <row r="23" spans="2:12" s="20" customFormat="1" ht="23.1" customHeight="1">
      <c r="B23" s="19">
        <v>15</v>
      </c>
      <c r="C23" s="18" t="s">
        <v>148</v>
      </c>
      <c r="D23" s="15">
        <v>5212884</v>
      </c>
      <c r="E23" s="16">
        <v>12</v>
      </c>
      <c r="F23" s="16">
        <v>12</v>
      </c>
      <c r="G23" s="16">
        <v>15</v>
      </c>
      <c r="H23" s="17">
        <f t="shared" si="2"/>
        <v>34.666666666666671</v>
      </c>
      <c r="I23" s="17">
        <v>9</v>
      </c>
      <c r="J23" s="17">
        <v>19</v>
      </c>
      <c r="K23" s="17">
        <f t="shared" si="3"/>
        <v>28</v>
      </c>
      <c r="L23" s="17">
        <f t="shared" si="4"/>
        <v>62.666666666666671</v>
      </c>
    </row>
    <row r="24" spans="2:12" s="20" customFormat="1" ht="23.1" customHeight="1">
      <c r="B24" s="19">
        <v>16</v>
      </c>
      <c r="C24" s="18" t="s">
        <v>168</v>
      </c>
      <c r="D24" s="15">
        <v>5423494</v>
      </c>
      <c r="E24" s="16">
        <v>11</v>
      </c>
      <c r="F24" s="16">
        <v>12</v>
      </c>
      <c r="G24" s="16">
        <v>13</v>
      </c>
      <c r="H24" s="17">
        <f t="shared" si="2"/>
        <v>32</v>
      </c>
      <c r="I24" s="17">
        <v>10</v>
      </c>
      <c r="J24" s="17">
        <v>13</v>
      </c>
      <c r="K24" s="17">
        <f t="shared" si="3"/>
        <v>23</v>
      </c>
      <c r="L24" s="17">
        <f t="shared" si="4"/>
        <v>55</v>
      </c>
    </row>
    <row r="25" spans="2:12" s="20" customFormat="1" ht="23.1" customHeight="1">
      <c r="B25" s="19">
        <v>17</v>
      </c>
      <c r="C25" s="18" t="s">
        <v>160</v>
      </c>
      <c r="D25" s="15">
        <v>5903646</v>
      </c>
      <c r="E25" s="16">
        <v>8</v>
      </c>
      <c r="F25" s="16">
        <v>11</v>
      </c>
      <c r="G25" s="16">
        <v>13</v>
      </c>
      <c r="H25" s="17">
        <f t="shared" si="2"/>
        <v>28.444444444444446</v>
      </c>
      <c r="I25" s="17">
        <v>14</v>
      </c>
      <c r="J25" s="17">
        <v>15</v>
      </c>
      <c r="K25" s="17">
        <f t="shared" si="3"/>
        <v>29</v>
      </c>
      <c r="L25" s="17">
        <f t="shared" si="4"/>
        <v>57.444444444444443</v>
      </c>
    </row>
    <row r="26" spans="2:12" s="20" customFormat="1" ht="23.1" customHeight="1">
      <c r="B26" s="19">
        <v>18</v>
      </c>
      <c r="C26" s="18" t="s">
        <v>161</v>
      </c>
      <c r="D26" s="15">
        <v>5787990</v>
      </c>
      <c r="E26" s="16">
        <v>8</v>
      </c>
      <c r="F26" s="16">
        <v>8</v>
      </c>
      <c r="G26" s="16">
        <v>11</v>
      </c>
      <c r="H26" s="17">
        <f t="shared" si="2"/>
        <v>24</v>
      </c>
      <c r="I26" s="17">
        <v>16</v>
      </c>
      <c r="J26" s="17">
        <v>17</v>
      </c>
      <c r="K26" s="17">
        <f t="shared" si="3"/>
        <v>33</v>
      </c>
      <c r="L26" s="17">
        <f t="shared" si="4"/>
        <v>57</v>
      </c>
    </row>
    <row r="27" spans="2:12" s="20" customFormat="1" ht="23.1" customHeight="1">
      <c r="B27" s="19">
        <v>19</v>
      </c>
      <c r="C27" s="18" t="s">
        <v>159</v>
      </c>
      <c r="D27" s="15">
        <v>5861575</v>
      </c>
      <c r="E27" s="16">
        <v>12</v>
      </c>
      <c r="F27" s="16">
        <v>11</v>
      </c>
      <c r="G27" s="16">
        <v>9</v>
      </c>
      <c r="H27" s="17">
        <f t="shared" si="2"/>
        <v>28.444444444444446</v>
      </c>
      <c r="I27" s="17">
        <v>14</v>
      </c>
      <c r="J27" s="17">
        <v>16</v>
      </c>
      <c r="K27" s="17">
        <f t="shared" si="3"/>
        <v>30</v>
      </c>
      <c r="L27" s="17">
        <f t="shared" si="4"/>
        <v>58.444444444444443</v>
      </c>
    </row>
    <row r="28" spans="2:12" s="20" customFormat="1" ht="23.1" customHeight="1">
      <c r="B28" s="19">
        <v>20</v>
      </c>
      <c r="C28" s="18" t="s">
        <v>153</v>
      </c>
      <c r="D28" s="15">
        <v>5706409</v>
      </c>
      <c r="E28" s="16">
        <v>13</v>
      </c>
      <c r="F28" s="16">
        <v>11</v>
      </c>
      <c r="G28" s="16">
        <v>12</v>
      </c>
      <c r="H28" s="17">
        <f t="shared" si="2"/>
        <v>32</v>
      </c>
      <c r="I28" s="17">
        <v>9</v>
      </c>
      <c r="J28" s="17">
        <v>20</v>
      </c>
      <c r="K28" s="17">
        <f t="shared" si="3"/>
        <v>29</v>
      </c>
      <c r="L28" s="17">
        <f t="shared" si="4"/>
        <v>61</v>
      </c>
    </row>
    <row r="29" spans="2:12" s="20" customFormat="1" ht="23.1" customHeight="1">
      <c r="B29" s="19">
        <v>21</v>
      </c>
      <c r="C29" s="18" t="s">
        <v>162</v>
      </c>
      <c r="D29" s="15">
        <v>5223024</v>
      </c>
      <c r="E29" s="16">
        <v>15</v>
      </c>
      <c r="F29" s="16">
        <v>15</v>
      </c>
      <c r="G29" s="16">
        <v>15</v>
      </c>
      <c r="H29" s="17">
        <f t="shared" si="2"/>
        <v>40</v>
      </c>
      <c r="I29" s="17">
        <v>7</v>
      </c>
      <c r="J29" s="17">
        <v>10</v>
      </c>
      <c r="K29" s="17">
        <f t="shared" si="3"/>
        <v>17</v>
      </c>
      <c r="L29" s="17">
        <f t="shared" si="4"/>
        <v>57</v>
      </c>
    </row>
    <row r="30" spans="2:12" s="20" customFormat="1" ht="23.1" customHeight="1">
      <c r="B30" s="19">
        <v>22</v>
      </c>
      <c r="C30" s="14" t="s">
        <v>164</v>
      </c>
      <c r="D30" s="15">
        <v>6819246</v>
      </c>
      <c r="E30" s="16">
        <v>14</v>
      </c>
      <c r="F30" s="16">
        <v>15</v>
      </c>
      <c r="G30" s="16">
        <v>12</v>
      </c>
      <c r="H30" s="17">
        <f t="shared" si="2"/>
        <v>36.44444444444445</v>
      </c>
      <c r="I30" s="17">
        <v>9</v>
      </c>
      <c r="J30" s="17">
        <v>11</v>
      </c>
      <c r="K30" s="17">
        <f t="shared" si="3"/>
        <v>20</v>
      </c>
      <c r="L30" s="17">
        <f t="shared" si="4"/>
        <v>56.44444444444445</v>
      </c>
    </row>
    <row r="31" spans="2:12" s="20" customFormat="1" ht="23.1" customHeight="1">
      <c r="B31" s="19">
        <v>23</v>
      </c>
      <c r="C31" s="18" t="s">
        <v>166</v>
      </c>
      <c r="D31" s="15">
        <v>5280782</v>
      </c>
      <c r="E31" s="16">
        <v>11</v>
      </c>
      <c r="F31" s="16">
        <v>10</v>
      </c>
      <c r="G31" s="16">
        <v>13</v>
      </c>
      <c r="H31" s="17">
        <f t="shared" si="2"/>
        <v>30.222222222222225</v>
      </c>
      <c r="I31" s="17">
        <v>11</v>
      </c>
      <c r="J31" s="17">
        <v>14</v>
      </c>
      <c r="K31" s="17">
        <f t="shared" si="3"/>
        <v>25</v>
      </c>
      <c r="L31" s="17">
        <f t="shared" si="4"/>
        <v>55.222222222222229</v>
      </c>
    </row>
    <row r="32" spans="2:12" s="20" customFormat="1" ht="23.1" customHeight="1">
      <c r="B32" s="19">
        <v>24</v>
      </c>
      <c r="C32" s="18" t="s">
        <v>152</v>
      </c>
      <c r="D32" s="15">
        <v>6696734</v>
      </c>
      <c r="E32" s="16">
        <v>13</v>
      </c>
      <c r="F32" s="16">
        <v>10</v>
      </c>
      <c r="G32" s="16">
        <v>12</v>
      </c>
      <c r="H32" s="17">
        <f t="shared" si="2"/>
        <v>31.111111111111111</v>
      </c>
      <c r="I32" s="17">
        <v>12</v>
      </c>
      <c r="J32" s="17">
        <v>18</v>
      </c>
      <c r="K32" s="17">
        <f t="shared" si="3"/>
        <v>30</v>
      </c>
      <c r="L32" s="17">
        <f t="shared" si="4"/>
        <v>61.111111111111114</v>
      </c>
    </row>
    <row r="33" spans="2:12" s="20" customFormat="1" ht="23.1" customHeight="1">
      <c r="B33" s="19">
        <v>25</v>
      </c>
      <c r="C33" s="18" t="s">
        <v>151</v>
      </c>
      <c r="D33" s="15">
        <v>5934932</v>
      </c>
      <c r="E33" s="16">
        <v>11</v>
      </c>
      <c r="F33" s="16">
        <v>11</v>
      </c>
      <c r="G33" s="16">
        <v>11</v>
      </c>
      <c r="H33" s="17">
        <f t="shared" si="2"/>
        <v>29.333333333333332</v>
      </c>
      <c r="I33" s="17">
        <v>17</v>
      </c>
      <c r="J33" s="17">
        <v>15</v>
      </c>
      <c r="K33" s="17">
        <f t="shared" si="3"/>
        <v>32</v>
      </c>
      <c r="L33" s="17">
        <f t="shared" si="4"/>
        <v>61.333333333333329</v>
      </c>
    </row>
    <row r="34" spans="2:12" s="20" customFormat="1" ht="23.1" customHeight="1">
      <c r="B34" s="19">
        <v>26</v>
      </c>
      <c r="C34" s="18" t="s">
        <v>150</v>
      </c>
      <c r="D34" s="15">
        <v>5315347</v>
      </c>
      <c r="E34" s="16">
        <v>8</v>
      </c>
      <c r="F34" s="16">
        <v>12</v>
      </c>
      <c r="G34" s="16">
        <v>13</v>
      </c>
      <c r="H34" s="17">
        <f t="shared" si="2"/>
        <v>29.333333333333332</v>
      </c>
      <c r="I34" s="17">
        <v>15</v>
      </c>
      <c r="J34" s="17">
        <v>18</v>
      </c>
      <c r="K34" s="17">
        <f t="shared" si="3"/>
        <v>33</v>
      </c>
      <c r="L34" s="17">
        <f t="shared" si="4"/>
        <v>62.333333333333329</v>
      </c>
    </row>
    <row r="35" spans="2:12" s="20" customFormat="1" ht="23.1" customHeight="1">
      <c r="B35" s="19">
        <v>27</v>
      </c>
      <c r="C35" s="18" t="s">
        <v>165</v>
      </c>
      <c r="D35" s="15">
        <v>5908406</v>
      </c>
      <c r="E35" s="16">
        <v>6</v>
      </c>
      <c r="F35" s="16">
        <v>7</v>
      </c>
      <c r="G35" s="16">
        <v>11</v>
      </c>
      <c r="H35" s="17">
        <f t="shared" si="2"/>
        <v>21.333333333333336</v>
      </c>
      <c r="I35" s="17">
        <v>16</v>
      </c>
      <c r="J35" s="17">
        <v>18</v>
      </c>
      <c r="K35" s="17">
        <f t="shared" si="3"/>
        <v>34</v>
      </c>
      <c r="L35" s="17">
        <f t="shared" si="4"/>
        <v>55.333333333333336</v>
      </c>
    </row>
    <row r="36" spans="2:12" s="20" customFormat="1" ht="23.1" customHeight="1">
      <c r="B36" s="19">
        <v>28</v>
      </c>
      <c r="C36" s="18" t="s">
        <v>172</v>
      </c>
      <c r="D36" s="15">
        <v>6500249</v>
      </c>
      <c r="E36" s="16">
        <v>10</v>
      </c>
      <c r="F36" s="16">
        <v>9</v>
      </c>
      <c r="G36" s="16">
        <v>11</v>
      </c>
      <c r="H36" s="17">
        <f t="shared" si="2"/>
        <v>26.666666666666671</v>
      </c>
      <c r="I36" s="17">
        <v>13</v>
      </c>
      <c r="J36" s="17">
        <v>15</v>
      </c>
      <c r="K36" s="17">
        <f t="shared" si="3"/>
        <v>28</v>
      </c>
      <c r="L36" s="17">
        <f t="shared" si="4"/>
        <v>54.666666666666671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tabSelected="1" topLeftCell="A19" workbookViewId="0">
      <selection activeCell="N28" sqref="N28"/>
    </sheetView>
  </sheetViews>
  <sheetFormatPr baseColWidth="10" defaultRowHeight="15"/>
  <cols>
    <col min="1" max="1" width="3" customWidth="1"/>
    <col min="2" max="2" width="3.5703125" bestFit="1" customWidth="1"/>
    <col min="3" max="3" width="42.85546875" customWidth="1"/>
    <col min="4" max="4" width="10" bestFit="1" customWidth="1"/>
    <col min="5" max="7" width="5.7109375" customWidth="1"/>
    <col min="8" max="12" width="6.7109375" customWidth="1"/>
  </cols>
  <sheetData>
    <row r="1" spans="2:12" ht="15" customHeight="1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2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 customHeight="1">
      <c r="B5" s="40" t="s">
        <v>26</v>
      </c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29"/>
    </row>
    <row r="8" spans="2:12">
      <c r="B8" s="30" t="s">
        <v>19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188</v>
      </c>
      <c r="D9" s="15">
        <v>5968725</v>
      </c>
      <c r="E9" s="16">
        <v>15</v>
      </c>
      <c r="F9" s="16">
        <v>15</v>
      </c>
      <c r="G9" s="16">
        <v>15</v>
      </c>
      <c r="H9" s="17">
        <f>SUM(E9:G9)*100/45*0.4</f>
        <v>40</v>
      </c>
      <c r="I9" s="17">
        <v>19</v>
      </c>
      <c r="J9" s="17">
        <v>20</v>
      </c>
      <c r="K9" s="17">
        <f>SUM(I9:J9)</f>
        <v>39</v>
      </c>
      <c r="L9" s="17">
        <f t="shared" ref="L9:L36" si="2">H9+K9</f>
        <v>79</v>
      </c>
    </row>
    <row r="10" spans="2:12" s="9" customFormat="1" ht="23.1" customHeight="1">
      <c r="B10" s="19">
        <v>2</v>
      </c>
      <c r="C10" s="14" t="s">
        <v>184</v>
      </c>
      <c r="D10" s="15">
        <v>5615420</v>
      </c>
      <c r="E10" s="16">
        <v>14</v>
      </c>
      <c r="F10" s="16">
        <v>15</v>
      </c>
      <c r="G10" s="16">
        <v>15</v>
      </c>
      <c r="H10" s="17">
        <f>SUM(E10:G10)*100/45*0.4</f>
        <v>39.111111111111114</v>
      </c>
      <c r="I10" s="17">
        <v>22</v>
      </c>
      <c r="J10" s="17">
        <v>20</v>
      </c>
      <c r="K10" s="17">
        <f>SUM(I10:J10)</f>
        <v>42</v>
      </c>
      <c r="L10" s="17">
        <f t="shared" si="2"/>
        <v>81.111111111111114</v>
      </c>
    </row>
    <row r="11" spans="2:12" s="9" customFormat="1" ht="23.1" customHeight="1">
      <c r="B11" s="19">
        <v>3</v>
      </c>
      <c r="C11" s="14" t="s">
        <v>182</v>
      </c>
      <c r="D11" s="15">
        <v>6932833</v>
      </c>
      <c r="E11" s="16">
        <v>15</v>
      </c>
      <c r="F11" s="16">
        <v>15</v>
      </c>
      <c r="G11" s="16">
        <v>15</v>
      </c>
      <c r="H11" s="17">
        <f>SUM(E11:G11)*100/45*0.4</f>
        <v>40</v>
      </c>
      <c r="I11" s="17">
        <v>22</v>
      </c>
      <c r="J11" s="17">
        <v>23</v>
      </c>
      <c r="K11" s="17">
        <f>SUM(I11:J11)</f>
        <v>45</v>
      </c>
      <c r="L11" s="17">
        <f t="shared" si="2"/>
        <v>85</v>
      </c>
    </row>
    <row r="12" spans="2:12" s="9" customFormat="1" ht="23.1" customHeight="1">
      <c r="B12" s="19">
        <v>4</v>
      </c>
      <c r="C12" s="14" t="s">
        <v>194</v>
      </c>
      <c r="D12" s="15">
        <v>5678213</v>
      </c>
      <c r="E12" s="16">
        <v>13</v>
      </c>
      <c r="F12" s="16">
        <v>15</v>
      </c>
      <c r="G12" s="16">
        <v>14</v>
      </c>
      <c r="H12" s="17">
        <f>SUM(E12:G12)*100/45*0.4</f>
        <v>37.333333333333336</v>
      </c>
      <c r="I12" s="17">
        <v>22</v>
      </c>
      <c r="J12" s="17">
        <v>15</v>
      </c>
      <c r="K12" s="17">
        <f>SUM(I12:J12)</f>
        <v>37</v>
      </c>
      <c r="L12" s="17">
        <f t="shared" si="2"/>
        <v>74.333333333333343</v>
      </c>
    </row>
    <row r="13" spans="2:12" s="9" customFormat="1" ht="23.1" customHeight="1">
      <c r="B13" s="19">
        <v>5</v>
      </c>
      <c r="C13" s="14" t="s">
        <v>183</v>
      </c>
      <c r="D13" s="15">
        <v>5377593</v>
      </c>
      <c r="E13" s="16">
        <v>15</v>
      </c>
      <c r="F13" s="16">
        <v>15</v>
      </c>
      <c r="G13" s="16">
        <v>14</v>
      </c>
      <c r="H13" s="17">
        <f>SUM(E13:G13)*100/45*0.4</f>
        <v>39.111111111111114</v>
      </c>
      <c r="I13" s="17">
        <v>21</v>
      </c>
      <c r="J13" s="17">
        <v>23</v>
      </c>
      <c r="K13" s="17">
        <f>SUM(I13:J13)</f>
        <v>44</v>
      </c>
      <c r="L13" s="17">
        <f t="shared" si="2"/>
        <v>83.111111111111114</v>
      </c>
    </row>
    <row r="14" spans="2:12" s="9" customFormat="1" ht="23.1" customHeight="1">
      <c r="B14" s="19">
        <v>6</v>
      </c>
      <c r="C14" s="14" t="s">
        <v>185</v>
      </c>
      <c r="D14" s="15">
        <v>5457237</v>
      </c>
      <c r="E14" s="16">
        <v>15</v>
      </c>
      <c r="F14" s="16">
        <v>14</v>
      </c>
      <c r="G14" s="16">
        <v>15</v>
      </c>
      <c r="H14" s="17">
        <f>SUM(E14:G14)*100/45*0.4</f>
        <v>39.111111111111114</v>
      </c>
      <c r="I14" s="17">
        <v>19</v>
      </c>
      <c r="J14" s="17">
        <v>23</v>
      </c>
      <c r="K14" s="17">
        <f>SUM(I14:J14)</f>
        <v>42</v>
      </c>
      <c r="L14" s="17">
        <f t="shared" si="2"/>
        <v>81.111111111111114</v>
      </c>
    </row>
    <row r="15" spans="2:12" s="9" customFormat="1" ht="23.1" customHeight="1">
      <c r="B15" s="19">
        <v>7</v>
      </c>
      <c r="C15" s="14" t="s">
        <v>180</v>
      </c>
      <c r="D15" s="15">
        <v>5390085</v>
      </c>
      <c r="E15" s="16">
        <v>15</v>
      </c>
      <c r="F15" s="16">
        <v>15</v>
      </c>
      <c r="G15" s="16">
        <v>15</v>
      </c>
      <c r="H15" s="17">
        <f>SUM(E15:G15)*100/45*0.4</f>
        <v>40</v>
      </c>
      <c r="I15" s="17">
        <v>21</v>
      </c>
      <c r="J15" s="17">
        <v>26</v>
      </c>
      <c r="K15" s="17">
        <f>SUM(I15:J15)</f>
        <v>47</v>
      </c>
      <c r="L15" s="17">
        <f t="shared" si="2"/>
        <v>87</v>
      </c>
    </row>
    <row r="16" spans="2:12" s="9" customFormat="1" ht="23.1" customHeight="1">
      <c r="B16" s="19">
        <v>8</v>
      </c>
      <c r="C16" s="14" t="s">
        <v>197</v>
      </c>
      <c r="D16" s="15">
        <v>5908502</v>
      </c>
      <c r="E16" s="16">
        <v>14</v>
      </c>
      <c r="F16" s="16">
        <v>15</v>
      </c>
      <c r="G16" s="16">
        <v>15</v>
      </c>
      <c r="H16" s="17">
        <f>SUM(E16:G16)*100/45*0.4</f>
        <v>39.111111111111114</v>
      </c>
      <c r="I16" s="17">
        <v>16</v>
      </c>
      <c r="J16" s="17">
        <v>19</v>
      </c>
      <c r="K16" s="17">
        <f>SUM(I16:J16)</f>
        <v>35</v>
      </c>
      <c r="L16" s="17">
        <f t="shared" si="2"/>
        <v>74.111111111111114</v>
      </c>
    </row>
    <row r="17" spans="2:12" s="9" customFormat="1" ht="23.1" customHeight="1">
      <c r="B17" s="19">
        <v>9</v>
      </c>
      <c r="C17" s="14" t="s">
        <v>179</v>
      </c>
      <c r="D17" s="15">
        <v>6141657</v>
      </c>
      <c r="E17" s="16">
        <v>15</v>
      </c>
      <c r="F17" s="16">
        <v>15</v>
      </c>
      <c r="G17" s="16">
        <v>15</v>
      </c>
      <c r="H17" s="17">
        <f>SUM(E17:G17)*100/45*0.4</f>
        <v>40</v>
      </c>
      <c r="I17" s="17">
        <v>23</v>
      </c>
      <c r="J17" s="17">
        <v>24</v>
      </c>
      <c r="K17" s="17">
        <f>SUM(I17:J17)</f>
        <v>47</v>
      </c>
      <c r="L17" s="17">
        <f t="shared" si="2"/>
        <v>87</v>
      </c>
    </row>
    <row r="18" spans="2:12" s="9" customFormat="1" ht="23.1" customHeight="1">
      <c r="B18" s="19">
        <v>10</v>
      </c>
      <c r="C18" s="14" t="s">
        <v>191</v>
      </c>
      <c r="D18" s="15">
        <v>5501366</v>
      </c>
      <c r="E18" s="16">
        <v>15</v>
      </c>
      <c r="F18" s="16">
        <v>15</v>
      </c>
      <c r="G18" s="16">
        <v>15</v>
      </c>
      <c r="H18" s="17">
        <f>SUM(E18:G18)*100/45*0.4</f>
        <v>40</v>
      </c>
      <c r="I18" s="17">
        <v>16</v>
      </c>
      <c r="J18" s="17">
        <v>20</v>
      </c>
      <c r="K18" s="17">
        <f>SUM(I18:J18)</f>
        <v>36</v>
      </c>
      <c r="L18" s="17">
        <f t="shared" si="2"/>
        <v>76</v>
      </c>
    </row>
    <row r="19" spans="2:12" s="9" customFormat="1" ht="23.1" customHeight="1">
      <c r="B19" s="19">
        <v>11</v>
      </c>
      <c r="C19" s="14" t="s">
        <v>198</v>
      </c>
      <c r="D19" s="15">
        <v>5496727</v>
      </c>
      <c r="E19" s="16">
        <v>15</v>
      </c>
      <c r="F19" s="16">
        <v>15</v>
      </c>
      <c r="G19" s="16">
        <v>15</v>
      </c>
      <c r="H19" s="17">
        <f>SUM(E19:G19)*100/45*0.4</f>
        <v>40</v>
      </c>
      <c r="I19" s="17">
        <v>13</v>
      </c>
      <c r="J19" s="17">
        <v>21</v>
      </c>
      <c r="K19" s="17">
        <f>SUM(I19:J19)</f>
        <v>34</v>
      </c>
      <c r="L19" s="17">
        <f t="shared" si="2"/>
        <v>74</v>
      </c>
    </row>
    <row r="20" spans="2:12" s="9" customFormat="1" ht="23.1" customHeight="1">
      <c r="B20" s="19">
        <v>12</v>
      </c>
      <c r="C20" s="14" t="s">
        <v>186</v>
      </c>
      <c r="D20" s="15">
        <v>5655401</v>
      </c>
      <c r="E20" s="16">
        <v>15</v>
      </c>
      <c r="F20" s="16">
        <v>15</v>
      </c>
      <c r="G20" s="16">
        <v>15</v>
      </c>
      <c r="H20" s="17">
        <f>SUM(E20:G20)*100/45*0.4</f>
        <v>40</v>
      </c>
      <c r="I20" s="17">
        <v>21</v>
      </c>
      <c r="J20" s="17">
        <v>20</v>
      </c>
      <c r="K20" s="17">
        <f>SUM(I20:J20)</f>
        <v>41</v>
      </c>
      <c r="L20" s="17">
        <f t="shared" si="2"/>
        <v>81</v>
      </c>
    </row>
    <row r="21" spans="2:12" s="9" customFormat="1" ht="23.1" customHeight="1">
      <c r="B21" s="19">
        <v>13</v>
      </c>
      <c r="C21" s="14" t="s">
        <v>177</v>
      </c>
      <c r="D21" s="15">
        <v>5640535</v>
      </c>
      <c r="E21" s="16">
        <v>15</v>
      </c>
      <c r="F21" s="16">
        <v>15</v>
      </c>
      <c r="G21" s="16">
        <v>15</v>
      </c>
      <c r="H21" s="17">
        <f>SUM(E21:G21)*100/45*0.4</f>
        <v>40</v>
      </c>
      <c r="I21" s="17">
        <v>23</v>
      </c>
      <c r="J21" s="17">
        <v>24</v>
      </c>
      <c r="K21" s="17">
        <f>SUM(I21:J21)</f>
        <v>47</v>
      </c>
      <c r="L21" s="17">
        <f t="shared" si="2"/>
        <v>87</v>
      </c>
    </row>
    <row r="22" spans="2:12" s="9" customFormat="1" ht="23.1" customHeight="1">
      <c r="B22" s="19">
        <v>14</v>
      </c>
      <c r="C22" s="14" t="s">
        <v>173</v>
      </c>
      <c r="D22" s="15">
        <v>5782306</v>
      </c>
      <c r="E22" s="16">
        <v>15</v>
      </c>
      <c r="F22" s="16">
        <v>15</v>
      </c>
      <c r="G22" s="16">
        <v>15</v>
      </c>
      <c r="H22" s="17">
        <f>SUM(E22:G22)*100/45*0.4</f>
        <v>40</v>
      </c>
      <c r="I22" s="17">
        <v>28</v>
      </c>
      <c r="J22" s="17">
        <v>27</v>
      </c>
      <c r="K22" s="17">
        <f>SUM(I22:J22)</f>
        <v>55</v>
      </c>
      <c r="L22" s="17">
        <f t="shared" si="2"/>
        <v>95</v>
      </c>
    </row>
    <row r="23" spans="2:12" s="9" customFormat="1" ht="23.1" customHeight="1">
      <c r="B23" s="19">
        <v>15</v>
      </c>
      <c r="C23" s="14" t="s">
        <v>199</v>
      </c>
      <c r="D23" s="15">
        <v>5876758</v>
      </c>
      <c r="E23" s="16">
        <v>15</v>
      </c>
      <c r="F23" s="16">
        <v>12</v>
      </c>
      <c r="G23" s="16">
        <v>14</v>
      </c>
      <c r="H23" s="17">
        <f>SUM(E23:G23)*100/45*0.4</f>
        <v>36.44444444444445</v>
      </c>
      <c r="I23" s="17">
        <v>18</v>
      </c>
      <c r="J23" s="17">
        <v>19</v>
      </c>
      <c r="K23" s="17">
        <f>SUM(I23:J23)</f>
        <v>37</v>
      </c>
      <c r="L23" s="17">
        <f t="shared" si="2"/>
        <v>73.444444444444457</v>
      </c>
    </row>
    <row r="24" spans="2:12" s="9" customFormat="1" ht="23.1" customHeight="1">
      <c r="B24" s="19">
        <v>16</v>
      </c>
      <c r="C24" s="14" t="s">
        <v>193</v>
      </c>
      <c r="D24" s="15">
        <v>5500689</v>
      </c>
      <c r="E24" s="16">
        <v>15</v>
      </c>
      <c r="F24" s="16">
        <v>15</v>
      </c>
      <c r="G24" s="16">
        <v>15</v>
      </c>
      <c r="H24" s="17">
        <f>SUM(E24:G24)*100/45*0.4</f>
        <v>40</v>
      </c>
      <c r="I24" s="17">
        <v>13</v>
      </c>
      <c r="J24" s="17">
        <v>22</v>
      </c>
      <c r="K24" s="17">
        <f>SUM(I24:J24)</f>
        <v>35</v>
      </c>
      <c r="L24" s="17">
        <f t="shared" si="2"/>
        <v>75</v>
      </c>
    </row>
    <row r="25" spans="2:12" s="9" customFormat="1" ht="23.1" customHeight="1">
      <c r="B25" s="19">
        <v>17</v>
      </c>
      <c r="C25" s="14" t="s">
        <v>174</v>
      </c>
      <c r="D25" s="15">
        <v>6065655</v>
      </c>
      <c r="E25" s="16">
        <v>15</v>
      </c>
      <c r="F25" s="16">
        <v>15</v>
      </c>
      <c r="G25" s="16">
        <v>15</v>
      </c>
      <c r="H25" s="17">
        <f>SUM(E25:G25)*100/45*0.4</f>
        <v>40</v>
      </c>
      <c r="I25" s="17">
        <v>28</v>
      </c>
      <c r="J25" s="17">
        <v>22</v>
      </c>
      <c r="K25" s="17">
        <f>SUM(I25:J25)</f>
        <v>50</v>
      </c>
      <c r="L25" s="17">
        <f t="shared" si="2"/>
        <v>90</v>
      </c>
    </row>
    <row r="26" spans="2:12" s="9" customFormat="1" ht="23.1" customHeight="1">
      <c r="B26" s="19">
        <v>18</v>
      </c>
      <c r="C26" s="14" t="s">
        <v>178</v>
      </c>
      <c r="D26" s="15">
        <v>5664109</v>
      </c>
      <c r="E26" s="16">
        <v>15</v>
      </c>
      <c r="F26" s="16">
        <v>15</v>
      </c>
      <c r="G26" s="16">
        <v>15</v>
      </c>
      <c r="H26" s="17">
        <f>SUM(E26:G26)*100/45*0.4</f>
        <v>40</v>
      </c>
      <c r="I26" s="17">
        <v>21</v>
      </c>
      <c r="J26" s="17">
        <v>26</v>
      </c>
      <c r="K26" s="17">
        <f>SUM(I26:J26)</f>
        <v>47</v>
      </c>
      <c r="L26" s="17">
        <f t="shared" si="2"/>
        <v>87</v>
      </c>
    </row>
    <row r="27" spans="2:12" s="9" customFormat="1" ht="23.1" customHeight="1">
      <c r="B27" s="19">
        <v>19</v>
      </c>
      <c r="C27" s="14" t="s">
        <v>176</v>
      </c>
      <c r="D27" s="15">
        <v>5294961</v>
      </c>
      <c r="E27" s="16">
        <v>15</v>
      </c>
      <c r="F27" s="16">
        <v>15</v>
      </c>
      <c r="G27" s="16">
        <v>15</v>
      </c>
      <c r="H27" s="17">
        <f>SUM(E27:G27)*100/45*0.4</f>
        <v>40</v>
      </c>
      <c r="I27" s="17">
        <v>28</v>
      </c>
      <c r="J27" s="17">
        <v>20</v>
      </c>
      <c r="K27" s="17">
        <f>SUM(I27:J27)</f>
        <v>48</v>
      </c>
      <c r="L27" s="17">
        <f t="shared" si="2"/>
        <v>88</v>
      </c>
    </row>
    <row r="28" spans="2:12" s="9" customFormat="1" ht="23.1" customHeight="1">
      <c r="B28" s="19">
        <v>20</v>
      </c>
      <c r="C28" s="14" t="s">
        <v>192</v>
      </c>
      <c r="D28" s="15">
        <v>5749366</v>
      </c>
      <c r="E28" s="16">
        <v>13</v>
      </c>
      <c r="F28" s="16">
        <v>14</v>
      </c>
      <c r="G28" s="16">
        <v>15</v>
      </c>
      <c r="H28" s="17">
        <f>SUM(E28:G28)*100/45*0.4</f>
        <v>37.333333333333336</v>
      </c>
      <c r="I28" s="17">
        <v>20</v>
      </c>
      <c r="J28" s="17">
        <v>18</v>
      </c>
      <c r="K28" s="17">
        <f>SUM(I28:J28)</f>
        <v>38</v>
      </c>
      <c r="L28" s="17">
        <f t="shared" si="2"/>
        <v>75.333333333333343</v>
      </c>
    </row>
    <row r="29" spans="2:12" s="9" customFormat="1" ht="23.1" customHeight="1">
      <c r="B29" s="19">
        <v>21</v>
      </c>
      <c r="C29" s="14" t="s">
        <v>189</v>
      </c>
      <c r="D29" s="15">
        <v>5615827</v>
      </c>
      <c r="E29" s="16">
        <v>15</v>
      </c>
      <c r="F29" s="16">
        <v>15</v>
      </c>
      <c r="G29" s="16">
        <v>15</v>
      </c>
      <c r="H29" s="17">
        <f>SUM(E29:G29)*100/45*0.4</f>
        <v>40</v>
      </c>
      <c r="I29" s="17">
        <v>17</v>
      </c>
      <c r="J29" s="17">
        <v>20</v>
      </c>
      <c r="K29" s="17">
        <f>SUM(I29:J29)</f>
        <v>37</v>
      </c>
      <c r="L29" s="17">
        <f t="shared" si="2"/>
        <v>77</v>
      </c>
    </row>
    <row r="30" spans="2:12" s="9" customFormat="1" ht="23.1" customHeight="1">
      <c r="B30" s="19">
        <v>22</v>
      </c>
      <c r="C30" s="14" t="s">
        <v>195</v>
      </c>
      <c r="D30" s="15">
        <v>5489049</v>
      </c>
      <c r="E30" s="16">
        <v>14</v>
      </c>
      <c r="F30" s="16">
        <v>13</v>
      </c>
      <c r="G30" s="16">
        <v>15</v>
      </c>
      <c r="H30" s="17">
        <f>SUM(E30:G30)*100/45*0.4</f>
        <v>37.333333333333336</v>
      </c>
      <c r="I30" s="17">
        <v>23</v>
      </c>
      <c r="J30" s="17">
        <v>14</v>
      </c>
      <c r="K30" s="17">
        <f>SUM(I30:J30)</f>
        <v>37</v>
      </c>
      <c r="L30" s="17">
        <f t="shared" si="2"/>
        <v>74.333333333333343</v>
      </c>
    </row>
    <row r="31" spans="2:12" s="9" customFormat="1" ht="23.1" customHeight="1">
      <c r="B31" s="19">
        <v>23</v>
      </c>
      <c r="C31" s="14" t="s">
        <v>181</v>
      </c>
      <c r="D31" s="15">
        <v>5414970</v>
      </c>
      <c r="E31" s="16">
        <v>14</v>
      </c>
      <c r="F31" s="16">
        <v>14</v>
      </c>
      <c r="G31" s="16">
        <v>12</v>
      </c>
      <c r="H31" s="17">
        <f>SUM(E31:G31)*100/45*0.4</f>
        <v>35.555555555555557</v>
      </c>
      <c r="I31" s="17">
        <v>26</v>
      </c>
      <c r="J31" s="17">
        <v>24</v>
      </c>
      <c r="K31" s="17">
        <f>SUM(I31:J31)</f>
        <v>50</v>
      </c>
      <c r="L31" s="17">
        <f t="shared" si="2"/>
        <v>85.555555555555557</v>
      </c>
    </row>
    <row r="32" spans="2:12" s="9" customFormat="1" ht="23.1" customHeight="1">
      <c r="B32" s="19">
        <v>24</v>
      </c>
      <c r="C32" s="14" t="s">
        <v>175</v>
      </c>
      <c r="D32" s="15">
        <v>5930769</v>
      </c>
      <c r="E32" s="16">
        <v>15</v>
      </c>
      <c r="F32" s="16">
        <v>15</v>
      </c>
      <c r="G32" s="16">
        <v>15</v>
      </c>
      <c r="H32" s="17">
        <f>SUM(E32:G32)*100/45*0.4</f>
        <v>40</v>
      </c>
      <c r="I32" s="17">
        <v>26</v>
      </c>
      <c r="J32" s="17">
        <v>24</v>
      </c>
      <c r="K32" s="17">
        <f>SUM(I32:J32)</f>
        <v>50</v>
      </c>
      <c r="L32" s="17">
        <f t="shared" si="2"/>
        <v>90</v>
      </c>
    </row>
    <row r="33" spans="2:12" s="9" customFormat="1" ht="23.1" customHeight="1">
      <c r="B33" s="19">
        <v>25</v>
      </c>
      <c r="C33" s="14" t="s">
        <v>196</v>
      </c>
      <c r="D33" s="15">
        <v>6781195</v>
      </c>
      <c r="E33" s="16">
        <v>14</v>
      </c>
      <c r="F33" s="16">
        <v>14</v>
      </c>
      <c r="G33" s="16">
        <v>14</v>
      </c>
      <c r="H33" s="17">
        <f>SUM(E33:G33)*100/45*0.4</f>
        <v>37.333333333333336</v>
      </c>
      <c r="I33" s="17">
        <v>16</v>
      </c>
      <c r="J33" s="17">
        <v>21</v>
      </c>
      <c r="K33" s="17">
        <f>SUM(I33:J33)</f>
        <v>37</v>
      </c>
      <c r="L33" s="17">
        <f t="shared" si="2"/>
        <v>74.333333333333343</v>
      </c>
    </row>
    <row r="34" spans="2:12" s="9" customFormat="1" ht="23.1" customHeight="1">
      <c r="B34" s="19">
        <v>26</v>
      </c>
      <c r="C34" s="14" t="s">
        <v>201</v>
      </c>
      <c r="D34" s="15">
        <v>5958896</v>
      </c>
      <c r="E34" s="16">
        <v>15</v>
      </c>
      <c r="F34" s="16">
        <v>15</v>
      </c>
      <c r="G34" s="16">
        <v>15</v>
      </c>
      <c r="H34" s="17">
        <f>SUM(E34:G34)*100/45*0.4</f>
        <v>40</v>
      </c>
      <c r="I34" s="17">
        <v>16</v>
      </c>
      <c r="J34" s="17">
        <v>17</v>
      </c>
      <c r="K34" s="17">
        <f>SUM(I34:J34)</f>
        <v>33</v>
      </c>
      <c r="L34" s="17">
        <f t="shared" si="2"/>
        <v>73</v>
      </c>
    </row>
    <row r="35" spans="2:12" s="9" customFormat="1" ht="23.1" customHeight="1">
      <c r="B35" s="19">
        <v>27</v>
      </c>
      <c r="C35" s="14" t="s">
        <v>187</v>
      </c>
      <c r="D35" s="15">
        <v>5863406</v>
      </c>
      <c r="E35" s="16">
        <v>15</v>
      </c>
      <c r="F35" s="16">
        <v>15</v>
      </c>
      <c r="G35" s="16">
        <v>15</v>
      </c>
      <c r="H35" s="17">
        <f>SUM(E35:G35)*100/45*0.4</f>
        <v>40</v>
      </c>
      <c r="I35" s="17">
        <v>17</v>
      </c>
      <c r="J35" s="17">
        <v>24</v>
      </c>
      <c r="K35" s="17">
        <f>SUM(I35:J35)</f>
        <v>41</v>
      </c>
      <c r="L35" s="17">
        <f t="shared" si="2"/>
        <v>81</v>
      </c>
    </row>
    <row r="36" spans="2:12" s="9" customFormat="1" ht="23.1" customHeight="1">
      <c r="B36" s="19">
        <v>28</v>
      </c>
      <c r="C36" s="14" t="s">
        <v>190</v>
      </c>
      <c r="D36" s="15">
        <v>5838025</v>
      </c>
      <c r="E36" s="16">
        <v>14</v>
      </c>
      <c r="F36" s="16">
        <v>13</v>
      </c>
      <c r="G36" s="16">
        <v>15</v>
      </c>
      <c r="H36" s="17">
        <f>SUM(E36:G36)*100/45*0.4</f>
        <v>37.333333333333336</v>
      </c>
      <c r="I36" s="17">
        <v>19</v>
      </c>
      <c r="J36" s="17">
        <v>20</v>
      </c>
      <c r="K36" s="17">
        <f>SUM(I36:J36)</f>
        <v>39</v>
      </c>
      <c r="L36" s="17">
        <f t="shared" si="2"/>
        <v>76.333333333333343</v>
      </c>
    </row>
  </sheetData>
  <sortState ref="C9:K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topLeftCell="A20" workbookViewId="0">
      <selection activeCell="C9" sqref="C9:L36"/>
    </sheetView>
  </sheetViews>
  <sheetFormatPr baseColWidth="10" defaultRowHeight="15"/>
  <cols>
    <col min="1" max="1" width="3.42578125" customWidth="1"/>
    <col min="2" max="2" width="3.5703125" bestFit="1" customWidth="1"/>
    <col min="3" max="3" width="45.85546875" customWidth="1"/>
    <col min="4" max="4" width="9.42578125" customWidth="1"/>
    <col min="5" max="7" width="5.7109375" customWidth="1"/>
    <col min="8" max="12" width="6.7109375" customWidth="1"/>
  </cols>
  <sheetData>
    <row r="1" spans="2:12" ht="15" customHeight="1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2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 customHeight="1">
      <c r="B5" s="41" t="s">
        <v>27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6" t="s">
        <v>10</v>
      </c>
      <c r="F7" s="6" t="s">
        <v>11</v>
      </c>
      <c r="G7" s="6" t="s">
        <v>12</v>
      </c>
      <c r="H7" s="29"/>
      <c r="I7" s="5" t="s">
        <v>13</v>
      </c>
      <c r="J7" s="5" t="s">
        <v>14</v>
      </c>
      <c r="K7" s="29"/>
      <c r="L7" s="29"/>
    </row>
    <row r="8" spans="2:12">
      <c r="B8" s="30" t="s">
        <v>19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217</v>
      </c>
      <c r="D9" s="15">
        <v>5313212</v>
      </c>
      <c r="E9" s="16">
        <v>10</v>
      </c>
      <c r="F9" s="16">
        <v>11</v>
      </c>
      <c r="G9" s="16">
        <v>13</v>
      </c>
      <c r="H9" s="17">
        <f t="shared" ref="H9:H36" si="2">SUM(E9:G9)*100/45*0.4</f>
        <v>30.222222222222225</v>
      </c>
      <c r="I9" s="17">
        <v>17</v>
      </c>
      <c r="J9" s="17">
        <v>20</v>
      </c>
      <c r="K9" s="17">
        <f t="shared" ref="K9:K36" si="3">SUM(I9:J9)</f>
        <v>37</v>
      </c>
      <c r="L9" s="17">
        <f t="shared" ref="L9:L36" si="4">H9+K9</f>
        <v>67.222222222222229</v>
      </c>
    </row>
    <row r="10" spans="2:12" s="9" customFormat="1" ht="23.1" customHeight="1">
      <c r="B10" s="19">
        <v>2</v>
      </c>
      <c r="C10" s="14" t="s">
        <v>202</v>
      </c>
      <c r="D10" s="15">
        <v>6182584</v>
      </c>
      <c r="E10" s="16">
        <v>14</v>
      </c>
      <c r="F10" s="16">
        <v>13</v>
      </c>
      <c r="G10" s="16">
        <v>13</v>
      </c>
      <c r="H10" s="17">
        <f t="shared" si="2"/>
        <v>35.555555555555557</v>
      </c>
      <c r="I10" s="17">
        <v>20</v>
      </c>
      <c r="J10" s="17">
        <v>17</v>
      </c>
      <c r="K10" s="17">
        <f t="shared" si="3"/>
        <v>37</v>
      </c>
      <c r="L10" s="17">
        <f t="shared" si="4"/>
        <v>72.555555555555557</v>
      </c>
    </row>
    <row r="11" spans="2:12" s="9" customFormat="1" ht="23.1" customHeight="1">
      <c r="B11" s="19">
        <v>3</v>
      </c>
      <c r="C11" s="14" t="s">
        <v>211</v>
      </c>
      <c r="D11" s="15">
        <v>5668985</v>
      </c>
      <c r="E11" s="16">
        <v>15</v>
      </c>
      <c r="F11" s="16">
        <v>14</v>
      </c>
      <c r="G11" s="16">
        <v>15</v>
      </c>
      <c r="H11" s="17">
        <f t="shared" si="2"/>
        <v>39.111111111111114</v>
      </c>
      <c r="I11" s="17">
        <v>15</v>
      </c>
      <c r="J11" s="17">
        <v>16</v>
      </c>
      <c r="K11" s="17">
        <f t="shared" si="3"/>
        <v>31</v>
      </c>
      <c r="L11" s="17">
        <f t="shared" si="4"/>
        <v>70.111111111111114</v>
      </c>
    </row>
    <row r="12" spans="2:12" s="9" customFormat="1" ht="23.1" customHeight="1">
      <c r="B12" s="19">
        <v>4</v>
      </c>
      <c r="C12" s="14" t="s">
        <v>226</v>
      </c>
      <c r="D12" s="15">
        <v>5163914</v>
      </c>
      <c r="E12" s="16">
        <v>13</v>
      </c>
      <c r="F12" s="16">
        <v>12</v>
      </c>
      <c r="G12" s="16">
        <v>13</v>
      </c>
      <c r="H12" s="17">
        <f t="shared" si="2"/>
        <v>33.777777777777779</v>
      </c>
      <c r="I12" s="17">
        <v>15</v>
      </c>
      <c r="J12" s="17">
        <v>11</v>
      </c>
      <c r="K12" s="17">
        <f t="shared" si="3"/>
        <v>26</v>
      </c>
      <c r="L12" s="17">
        <f t="shared" si="4"/>
        <v>59.777777777777779</v>
      </c>
    </row>
    <row r="13" spans="2:12" s="9" customFormat="1" ht="23.1" customHeight="1">
      <c r="B13" s="19">
        <v>5</v>
      </c>
      <c r="C13" s="14" t="s">
        <v>215</v>
      </c>
      <c r="D13" s="15">
        <v>5781865</v>
      </c>
      <c r="E13" s="16">
        <v>11</v>
      </c>
      <c r="F13" s="16">
        <v>10</v>
      </c>
      <c r="G13" s="16">
        <v>13</v>
      </c>
      <c r="H13" s="17">
        <f t="shared" si="2"/>
        <v>30.222222222222225</v>
      </c>
      <c r="I13" s="17">
        <v>21</v>
      </c>
      <c r="J13" s="17">
        <v>17</v>
      </c>
      <c r="K13" s="17">
        <f t="shared" si="3"/>
        <v>38</v>
      </c>
      <c r="L13" s="17">
        <f t="shared" si="4"/>
        <v>68.222222222222229</v>
      </c>
    </row>
    <row r="14" spans="2:12" s="9" customFormat="1" ht="23.1" customHeight="1">
      <c r="B14" s="19">
        <v>6</v>
      </c>
      <c r="C14" s="14" t="s">
        <v>212</v>
      </c>
      <c r="D14" s="15">
        <v>6610108</v>
      </c>
      <c r="E14" s="16">
        <v>15</v>
      </c>
      <c r="F14" s="16">
        <v>13</v>
      </c>
      <c r="G14" s="16">
        <v>15</v>
      </c>
      <c r="H14" s="17">
        <f t="shared" si="2"/>
        <v>38.222222222222221</v>
      </c>
      <c r="I14" s="17">
        <v>19</v>
      </c>
      <c r="J14" s="17">
        <v>12</v>
      </c>
      <c r="K14" s="17">
        <f t="shared" si="3"/>
        <v>31</v>
      </c>
      <c r="L14" s="17">
        <f t="shared" si="4"/>
        <v>69.222222222222229</v>
      </c>
    </row>
    <row r="15" spans="2:12" s="9" customFormat="1" ht="23.1" customHeight="1">
      <c r="B15" s="19">
        <v>7</v>
      </c>
      <c r="C15" s="14" t="s">
        <v>219</v>
      </c>
      <c r="D15" s="15">
        <v>6680578</v>
      </c>
      <c r="E15" s="16">
        <v>12</v>
      </c>
      <c r="F15" s="16">
        <v>13</v>
      </c>
      <c r="G15" s="16">
        <v>13</v>
      </c>
      <c r="H15" s="17">
        <f t="shared" si="2"/>
        <v>33.777777777777779</v>
      </c>
      <c r="I15" s="17">
        <v>19</v>
      </c>
      <c r="J15" s="17">
        <v>13</v>
      </c>
      <c r="K15" s="17">
        <f t="shared" si="3"/>
        <v>32</v>
      </c>
      <c r="L15" s="17">
        <f t="shared" si="4"/>
        <v>65.777777777777771</v>
      </c>
    </row>
    <row r="16" spans="2:12" s="9" customFormat="1" ht="23.1" customHeight="1">
      <c r="B16" s="19">
        <v>8</v>
      </c>
      <c r="C16" s="14" t="s">
        <v>210</v>
      </c>
      <c r="D16" s="15">
        <v>5826099</v>
      </c>
      <c r="E16" s="16">
        <v>15</v>
      </c>
      <c r="F16" s="16">
        <v>15</v>
      </c>
      <c r="G16" s="16">
        <v>13</v>
      </c>
      <c r="H16" s="17">
        <f t="shared" si="2"/>
        <v>38.222222222222221</v>
      </c>
      <c r="I16" s="17">
        <v>13</v>
      </c>
      <c r="J16" s="17">
        <v>20</v>
      </c>
      <c r="K16" s="17">
        <f t="shared" si="3"/>
        <v>33</v>
      </c>
      <c r="L16" s="17">
        <f t="shared" si="4"/>
        <v>71.222222222222229</v>
      </c>
    </row>
    <row r="17" spans="2:12" s="9" customFormat="1" ht="23.1" customHeight="1">
      <c r="B17" s="19">
        <v>9</v>
      </c>
      <c r="C17" s="14" t="s">
        <v>207</v>
      </c>
      <c r="D17" s="15">
        <v>5711869</v>
      </c>
      <c r="E17" s="16">
        <v>15</v>
      </c>
      <c r="F17" s="16">
        <v>13</v>
      </c>
      <c r="G17" s="16">
        <v>12</v>
      </c>
      <c r="H17" s="17">
        <f t="shared" si="2"/>
        <v>35.555555555555557</v>
      </c>
      <c r="I17" s="17">
        <v>16</v>
      </c>
      <c r="J17" s="17">
        <v>20</v>
      </c>
      <c r="K17" s="17">
        <f t="shared" si="3"/>
        <v>36</v>
      </c>
      <c r="L17" s="17">
        <f t="shared" si="4"/>
        <v>71.555555555555557</v>
      </c>
    </row>
    <row r="18" spans="2:12" s="9" customFormat="1" ht="23.1" customHeight="1">
      <c r="B18" s="19">
        <v>10</v>
      </c>
      <c r="C18" s="14" t="s">
        <v>204</v>
      </c>
      <c r="D18" s="15">
        <v>5312703</v>
      </c>
      <c r="E18" s="16">
        <v>11</v>
      </c>
      <c r="F18" s="16">
        <v>10</v>
      </c>
      <c r="G18" s="16">
        <v>14</v>
      </c>
      <c r="H18" s="17">
        <f t="shared" si="2"/>
        <v>31.111111111111111</v>
      </c>
      <c r="I18" s="17">
        <v>21</v>
      </c>
      <c r="J18" s="17">
        <v>20</v>
      </c>
      <c r="K18" s="17">
        <f t="shared" si="3"/>
        <v>41</v>
      </c>
      <c r="L18" s="17">
        <f t="shared" si="4"/>
        <v>72.111111111111114</v>
      </c>
    </row>
    <row r="19" spans="2:12" s="9" customFormat="1" ht="23.1" customHeight="1">
      <c r="B19" s="19">
        <v>11</v>
      </c>
      <c r="C19" s="14" t="s">
        <v>208</v>
      </c>
      <c r="D19" s="15">
        <v>5990136</v>
      </c>
      <c r="E19" s="16">
        <v>14</v>
      </c>
      <c r="F19" s="16">
        <v>14</v>
      </c>
      <c r="G19" s="16">
        <v>13</v>
      </c>
      <c r="H19" s="17">
        <f t="shared" si="2"/>
        <v>36.44444444444445</v>
      </c>
      <c r="I19" s="17">
        <v>15</v>
      </c>
      <c r="J19" s="17">
        <v>20</v>
      </c>
      <c r="K19" s="17">
        <f t="shared" si="3"/>
        <v>35</v>
      </c>
      <c r="L19" s="17">
        <f t="shared" si="4"/>
        <v>71.444444444444457</v>
      </c>
    </row>
    <row r="20" spans="2:12" s="9" customFormat="1" ht="23.1" customHeight="1">
      <c r="B20" s="19">
        <v>12</v>
      </c>
      <c r="C20" s="14" t="s">
        <v>224</v>
      </c>
      <c r="D20" s="15">
        <v>6592981</v>
      </c>
      <c r="E20" s="16">
        <v>15</v>
      </c>
      <c r="F20" s="16">
        <v>15</v>
      </c>
      <c r="G20" s="16">
        <v>15</v>
      </c>
      <c r="H20" s="17">
        <f t="shared" si="2"/>
        <v>40</v>
      </c>
      <c r="I20" s="17">
        <v>9</v>
      </c>
      <c r="J20" s="17">
        <v>11</v>
      </c>
      <c r="K20" s="17">
        <f t="shared" si="3"/>
        <v>20</v>
      </c>
      <c r="L20" s="17">
        <f t="shared" si="4"/>
        <v>60</v>
      </c>
    </row>
    <row r="21" spans="2:12" s="9" customFormat="1" ht="23.1" customHeight="1">
      <c r="B21" s="19">
        <v>13</v>
      </c>
      <c r="C21" s="14" t="s">
        <v>221</v>
      </c>
      <c r="D21" s="15">
        <v>5789011</v>
      </c>
      <c r="E21" s="16">
        <v>13</v>
      </c>
      <c r="F21" s="16">
        <v>12</v>
      </c>
      <c r="G21" s="16">
        <v>12</v>
      </c>
      <c r="H21" s="17">
        <f t="shared" si="2"/>
        <v>32.888888888888893</v>
      </c>
      <c r="I21" s="17">
        <v>16</v>
      </c>
      <c r="J21" s="17">
        <v>16</v>
      </c>
      <c r="K21" s="17">
        <f t="shared" si="3"/>
        <v>32</v>
      </c>
      <c r="L21" s="17">
        <f t="shared" si="4"/>
        <v>64.888888888888886</v>
      </c>
    </row>
    <row r="22" spans="2:12" s="9" customFormat="1" ht="23.1" customHeight="1">
      <c r="B22" s="19">
        <v>14</v>
      </c>
      <c r="C22" s="14" t="s">
        <v>227</v>
      </c>
      <c r="D22" s="15">
        <v>5408916</v>
      </c>
      <c r="E22" s="16">
        <v>15</v>
      </c>
      <c r="F22" s="16">
        <v>11</v>
      </c>
      <c r="G22" s="16">
        <v>13</v>
      </c>
      <c r="H22" s="17">
        <f t="shared" si="2"/>
        <v>34.666666666666671</v>
      </c>
      <c r="I22" s="17">
        <v>11</v>
      </c>
      <c r="J22" s="17">
        <v>14</v>
      </c>
      <c r="K22" s="17">
        <f t="shared" si="3"/>
        <v>25</v>
      </c>
      <c r="L22" s="17">
        <f t="shared" si="4"/>
        <v>59.666666666666671</v>
      </c>
    </row>
    <row r="23" spans="2:12" s="9" customFormat="1" ht="23.1" customHeight="1">
      <c r="B23" s="19">
        <v>15</v>
      </c>
      <c r="C23" s="14" t="s">
        <v>209</v>
      </c>
      <c r="D23" s="15">
        <v>6065780</v>
      </c>
      <c r="E23" s="16">
        <v>15</v>
      </c>
      <c r="F23" s="16">
        <v>13</v>
      </c>
      <c r="G23" s="16">
        <v>14</v>
      </c>
      <c r="H23" s="17">
        <f t="shared" si="2"/>
        <v>37.333333333333336</v>
      </c>
      <c r="I23" s="17">
        <v>17</v>
      </c>
      <c r="J23" s="17">
        <v>17</v>
      </c>
      <c r="K23" s="17">
        <f t="shared" si="3"/>
        <v>34</v>
      </c>
      <c r="L23" s="17">
        <f t="shared" si="4"/>
        <v>71.333333333333343</v>
      </c>
    </row>
    <row r="24" spans="2:12" s="9" customFormat="1" ht="23.1" customHeight="1">
      <c r="B24" s="19">
        <v>16</v>
      </c>
      <c r="C24" s="14" t="s">
        <v>225</v>
      </c>
      <c r="D24" s="15">
        <v>5409965</v>
      </c>
      <c r="E24" s="16">
        <v>13</v>
      </c>
      <c r="F24" s="16">
        <v>11</v>
      </c>
      <c r="G24" s="16">
        <v>13</v>
      </c>
      <c r="H24" s="17">
        <f t="shared" si="2"/>
        <v>32.888888888888893</v>
      </c>
      <c r="I24" s="17">
        <v>11</v>
      </c>
      <c r="J24" s="17">
        <v>16</v>
      </c>
      <c r="K24" s="17">
        <f t="shared" si="3"/>
        <v>27</v>
      </c>
      <c r="L24" s="17">
        <f t="shared" si="4"/>
        <v>59.888888888888893</v>
      </c>
    </row>
    <row r="25" spans="2:12" s="9" customFormat="1" ht="23.1" customHeight="1">
      <c r="B25" s="19">
        <v>17</v>
      </c>
      <c r="C25" s="14" t="s">
        <v>228</v>
      </c>
      <c r="D25" s="15">
        <v>5628581</v>
      </c>
      <c r="E25" s="16">
        <v>7</v>
      </c>
      <c r="F25" s="16">
        <v>9</v>
      </c>
      <c r="G25" s="16">
        <v>11</v>
      </c>
      <c r="H25" s="17">
        <f t="shared" si="2"/>
        <v>24</v>
      </c>
      <c r="I25" s="17">
        <v>15</v>
      </c>
      <c r="J25" s="17">
        <v>19</v>
      </c>
      <c r="K25" s="17">
        <f t="shared" si="3"/>
        <v>34</v>
      </c>
      <c r="L25" s="17">
        <f t="shared" si="4"/>
        <v>58</v>
      </c>
    </row>
    <row r="26" spans="2:12" s="9" customFormat="1" ht="23.1" customHeight="1">
      <c r="B26" s="19">
        <v>18</v>
      </c>
      <c r="C26" s="14" t="s">
        <v>216</v>
      </c>
      <c r="D26" s="15">
        <v>6542901</v>
      </c>
      <c r="E26" s="16">
        <v>12</v>
      </c>
      <c r="F26" s="16">
        <v>8</v>
      </c>
      <c r="G26" s="16">
        <v>10</v>
      </c>
      <c r="H26" s="17">
        <f t="shared" si="2"/>
        <v>26.666666666666671</v>
      </c>
      <c r="I26" s="17">
        <v>19</v>
      </c>
      <c r="J26" s="17">
        <v>22</v>
      </c>
      <c r="K26" s="17">
        <f t="shared" si="3"/>
        <v>41</v>
      </c>
      <c r="L26" s="17">
        <f t="shared" si="4"/>
        <v>67.666666666666671</v>
      </c>
    </row>
    <row r="27" spans="2:12" s="9" customFormat="1" ht="23.1" customHeight="1">
      <c r="B27" s="19">
        <v>19</v>
      </c>
      <c r="C27" s="14" t="s">
        <v>213</v>
      </c>
      <c r="D27" s="15">
        <v>6065560</v>
      </c>
      <c r="E27" s="16">
        <v>12</v>
      </c>
      <c r="F27" s="16">
        <v>12</v>
      </c>
      <c r="G27" s="16">
        <v>14</v>
      </c>
      <c r="H27" s="17">
        <f t="shared" si="2"/>
        <v>33.777777777777779</v>
      </c>
      <c r="I27" s="17">
        <v>17</v>
      </c>
      <c r="J27" s="17">
        <v>18</v>
      </c>
      <c r="K27" s="17">
        <f t="shared" si="3"/>
        <v>35</v>
      </c>
      <c r="L27" s="17">
        <f t="shared" si="4"/>
        <v>68.777777777777771</v>
      </c>
    </row>
    <row r="28" spans="2:12" s="9" customFormat="1" ht="23.1" customHeight="1">
      <c r="B28" s="19">
        <v>20</v>
      </c>
      <c r="C28" s="14" t="s">
        <v>220</v>
      </c>
      <c r="D28" s="15">
        <v>5224843</v>
      </c>
      <c r="E28" s="16">
        <v>13</v>
      </c>
      <c r="F28" s="16">
        <v>14</v>
      </c>
      <c r="G28" s="16">
        <v>12</v>
      </c>
      <c r="H28" s="17">
        <f t="shared" si="2"/>
        <v>34.666666666666671</v>
      </c>
      <c r="I28" s="17">
        <v>14</v>
      </c>
      <c r="J28" s="17">
        <v>17</v>
      </c>
      <c r="K28" s="17">
        <f t="shared" si="3"/>
        <v>31</v>
      </c>
      <c r="L28" s="17">
        <f t="shared" si="4"/>
        <v>65.666666666666671</v>
      </c>
    </row>
    <row r="29" spans="2:12" s="9" customFormat="1" ht="23.1" customHeight="1">
      <c r="B29" s="19">
        <v>21</v>
      </c>
      <c r="C29" s="14" t="s">
        <v>223</v>
      </c>
      <c r="D29" s="15">
        <v>5919115</v>
      </c>
      <c r="E29" s="16">
        <v>13</v>
      </c>
      <c r="F29" s="16">
        <v>13</v>
      </c>
      <c r="G29" s="16">
        <v>11</v>
      </c>
      <c r="H29" s="17">
        <f t="shared" si="2"/>
        <v>32.888888888888893</v>
      </c>
      <c r="I29" s="17">
        <v>14</v>
      </c>
      <c r="J29" s="17">
        <v>16</v>
      </c>
      <c r="K29" s="17">
        <f t="shared" si="3"/>
        <v>30</v>
      </c>
      <c r="L29" s="17">
        <f t="shared" si="4"/>
        <v>62.888888888888893</v>
      </c>
    </row>
    <row r="30" spans="2:12" s="9" customFormat="1" ht="23.1" customHeight="1">
      <c r="B30" s="19">
        <v>22</v>
      </c>
      <c r="C30" s="14" t="s">
        <v>218</v>
      </c>
      <c r="D30" s="15">
        <v>7554587</v>
      </c>
      <c r="E30" s="16">
        <v>13</v>
      </c>
      <c r="F30" s="16">
        <v>10</v>
      </c>
      <c r="G30" s="16">
        <v>11</v>
      </c>
      <c r="H30" s="17">
        <f t="shared" si="2"/>
        <v>30.222222222222225</v>
      </c>
      <c r="I30" s="17">
        <v>17</v>
      </c>
      <c r="J30" s="17">
        <v>19</v>
      </c>
      <c r="K30" s="17">
        <f t="shared" si="3"/>
        <v>36</v>
      </c>
      <c r="L30" s="17">
        <f t="shared" si="4"/>
        <v>66.222222222222229</v>
      </c>
    </row>
    <row r="31" spans="2:12" s="9" customFormat="1" ht="23.1" customHeight="1">
      <c r="B31" s="19">
        <v>23</v>
      </c>
      <c r="C31" s="14" t="s">
        <v>205</v>
      </c>
      <c r="D31" s="15">
        <v>5415410</v>
      </c>
      <c r="E31" s="16">
        <v>15</v>
      </c>
      <c r="F31" s="16">
        <v>15</v>
      </c>
      <c r="G31" s="16">
        <v>15</v>
      </c>
      <c r="H31" s="17">
        <f t="shared" si="2"/>
        <v>40</v>
      </c>
      <c r="I31" s="17">
        <v>15</v>
      </c>
      <c r="J31" s="17">
        <v>17</v>
      </c>
      <c r="K31" s="17">
        <f t="shared" si="3"/>
        <v>32</v>
      </c>
      <c r="L31" s="17">
        <f t="shared" si="4"/>
        <v>72</v>
      </c>
    </row>
    <row r="32" spans="2:12" s="9" customFormat="1" ht="23.1" customHeight="1">
      <c r="B32" s="19">
        <v>24</v>
      </c>
      <c r="C32" s="14" t="s">
        <v>214</v>
      </c>
      <c r="D32" s="15">
        <v>6319386</v>
      </c>
      <c r="E32" s="16">
        <v>10</v>
      </c>
      <c r="F32" s="16">
        <v>15</v>
      </c>
      <c r="G32" s="16">
        <v>15</v>
      </c>
      <c r="H32" s="17">
        <f t="shared" si="2"/>
        <v>35.555555555555557</v>
      </c>
      <c r="I32" s="17">
        <v>17</v>
      </c>
      <c r="J32" s="17">
        <v>16</v>
      </c>
      <c r="K32" s="17">
        <f t="shared" si="3"/>
        <v>33</v>
      </c>
      <c r="L32" s="17">
        <f t="shared" si="4"/>
        <v>68.555555555555557</v>
      </c>
    </row>
    <row r="33" spans="2:12" s="9" customFormat="1" ht="23.1" customHeight="1">
      <c r="B33" s="19">
        <v>25</v>
      </c>
      <c r="C33" s="14" t="s">
        <v>206</v>
      </c>
      <c r="D33" s="15">
        <v>5399905</v>
      </c>
      <c r="E33" s="16">
        <v>15</v>
      </c>
      <c r="F33" s="16">
        <v>15</v>
      </c>
      <c r="G33" s="16">
        <v>15</v>
      </c>
      <c r="H33" s="17">
        <f t="shared" si="2"/>
        <v>40</v>
      </c>
      <c r="I33" s="17">
        <v>15</v>
      </c>
      <c r="J33" s="17">
        <v>17</v>
      </c>
      <c r="K33" s="17">
        <f t="shared" si="3"/>
        <v>32</v>
      </c>
      <c r="L33" s="17">
        <f t="shared" si="4"/>
        <v>72</v>
      </c>
    </row>
    <row r="34" spans="2:12" s="9" customFormat="1" ht="23.1" customHeight="1">
      <c r="B34" s="19">
        <v>26</v>
      </c>
      <c r="C34" s="14" t="s">
        <v>200</v>
      </c>
      <c r="D34" s="15">
        <v>5966661</v>
      </c>
      <c r="E34" s="16">
        <v>15</v>
      </c>
      <c r="F34" s="16">
        <v>15</v>
      </c>
      <c r="G34" s="16">
        <v>15</v>
      </c>
      <c r="H34" s="17">
        <f t="shared" ref="H34" si="5">SUM(E34:G34)*100/45*0.4</f>
        <v>40</v>
      </c>
      <c r="I34" s="17">
        <v>16</v>
      </c>
      <c r="J34" s="17">
        <v>17</v>
      </c>
      <c r="K34" s="17">
        <f t="shared" ref="K34" si="6">SUM(I34:J34)</f>
        <v>33</v>
      </c>
      <c r="L34" s="17">
        <f t="shared" ref="L34" si="7">H34+K34</f>
        <v>73</v>
      </c>
    </row>
    <row r="35" spans="2:12" s="9" customFormat="1" ht="23.1" customHeight="1">
      <c r="B35" s="19">
        <v>27</v>
      </c>
      <c r="C35" s="14" t="s">
        <v>203</v>
      </c>
      <c r="D35" s="15">
        <v>5548512</v>
      </c>
      <c r="E35" s="16">
        <v>13</v>
      </c>
      <c r="F35" s="16">
        <v>15</v>
      </c>
      <c r="G35" s="16">
        <v>15</v>
      </c>
      <c r="H35" s="17">
        <f t="shared" si="2"/>
        <v>38.222222222222221</v>
      </c>
      <c r="I35" s="17">
        <v>16</v>
      </c>
      <c r="J35" s="17">
        <v>18</v>
      </c>
      <c r="K35" s="17">
        <f t="shared" si="3"/>
        <v>34</v>
      </c>
      <c r="L35" s="17">
        <f t="shared" si="4"/>
        <v>72.222222222222229</v>
      </c>
    </row>
    <row r="36" spans="2:12" s="9" customFormat="1" ht="23.1" customHeight="1">
      <c r="B36" s="19">
        <v>28</v>
      </c>
      <c r="C36" s="14" t="s">
        <v>222</v>
      </c>
      <c r="D36" s="15">
        <v>5552637</v>
      </c>
      <c r="E36" s="16">
        <v>15</v>
      </c>
      <c r="F36" s="16">
        <v>13</v>
      </c>
      <c r="G36" s="16">
        <v>14</v>
      </c>
      <c r="H36" s="17">
        <f t="shared" si="2"/>
        <v>37.333333333333336</v>
      </c>
      <c r="I36" s="17">
        <v>15</v>
      </c>
      <c r="J36" s="17">
        <v>12</v>
      </c>
      <c r="K36" s="17">
        <f t="shared" si="3"/>
        <v>27</v>
      </c>
      <c r="L36" s="17">
        <f t="shared" si="4"/>
        <v>64.333333333333343</v>
      </c>
    </row>
    <row r="37" spans="2:12"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M12" sqref="M12"/>
    </sheetView>
  </sheetViews>
  <sheetFormatPr baseColWidth="10" defaultRowHeight="15"/>
  <cols>
    <col min="1" max="1" width="3.140625" customWidth="1"/>
    <col min="2" max="2" width="3.5703125" bestFit="1" customWidth="1"/>
    <col min="3" max="3" width="44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42" t="s">
        <v>22</v>
      </c>
      <c r="C5" s="43"/>
      <c r="D5" s="43"/>
      <c r="E5" s="43"/>
      <c r="F5" s="43"/>
      <c r="G5" s="43"/>
      <c r="H5" s="43"/>
      <c r="I5" s="43"/>
      <c r="J5" s="43"/>
      <c r="K5" s="43"/>
      <c r="L5" s="44"/>
    </row>
    <row r="6" spans="2:12" ht="35.1" customHeight="1">
      <c r="B6" s="45" t="s">
        <v>2</v>
      </c>
      <c r="C6" s="45" t="s">
        <v>3</v>
      </c>
      <c r="D6" s="47" t="s">
        <v>4</v>
      </c>
      <c r="E6" s="49" t="s">
        <v>5</v>
      </c>
      <c r="F6" s="50"/>
      <c r="G6" s="51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46"/>
      <c r="C7" s="46"/>
      <c r="D7" s="48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29"/>
    </row>
    <row r="8" spans="2:12">
      <c r="B8" s="30" t="s">
        <v>20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239</v>
      </c>
      <c r="D9" s="15">
        <v>5446018</v>
      </c>
      <c r="E9" s="16">
        <v>14</v>
      </c>
      <c r="F9" s="16">
        <v>13</v>
      </c>
      <c r="G9" s="16">
        <v>15</v>
      </c>
      <c r="H9" s="17">
        <f t="shared" ref="H9:H35" si="2">SUM(E9:G9)*100/45*0.4</f>
        <v>37.333333333333336</v>
      </c>
      <c r="I9" s="17">
        <v>18</v>
      </c>
      <c r="J9" s="17">
        <v>22</v>
      </c>
      <c r="K9" s="17">
        <f t="shared" ref="K9:K35" si="3">SUM(I9:J9)</f>
        <v>40</v>
      </c>
      <c r="L9" s="17">
        <f t="shared" ref="L9:L35" si="4">H9+K9</f>
        <v>77.333333333333343</v>
      </c>
    </row>
    <row r="10" spans="2:12" s="9" customFormat="1" ht="23.1" customHeight="1">
      <c r="B10" s="19">
        <v>2</v>
      </c>
      <c r="C10" s="14" t="s">
        <v>242</v>
      </c>
      <c r="D10" s="15">
        <v>5900426</v>
      </c>
      <c r="E10" s="16">
        <v>14</v>
      </c>
      <c r="F10" s="16">
        <v>15</v>
      </c>
      <c r="G10" s="16">
        <v>13</v>
      </c>
      <c r="H10" s="17">
        <f t="shared" si="2"/>
        <v>37.333333333333336</v>
      </c>
      <c r="I10" s="17">
        <v>20</v>
      </c>
      <c r="J10" s="17">
        <v>19</v>
      </c>
      <c r="K10" s="17">
        <f t="shared" si="3"/>
        <v>39</v>
      </c>
      <c r="L10" s="17">
        <f t="shared" si="4"/>
        <v>76.333333333333343</v>
      </c>
    </row>
    <row r="11" spans="2:12" s="9" customFormat="1" ht="23.1" customHeight="1">
      <c r="B11" s="19">
        <v>3</v>
      </c>
      <c r="C11" s="14" t="s">
        <v>253</v>
      </c>
      <c r="D11" s="15">
        <v>5995731</v>
      </c>
      <c r="E11" s="16">
        <v>11</v>
      </c>
      <c r="F11" s="16">
        <v>14</v>
      </c>
      <c r="G11" s="16">
        <v>15</v>
      </c>
      <c r="H11" s="17">
        <f t="shared" si="2"/>
        <v>35.555555555555557</v>
      </c>
      <c r="I11" s="17">
        <v>16</v>
      </c>
      <c r="J11" s="17">
        <v>22</v>
      </c>
      <c r="K11" s="17">
        <f t="shared" si="3"/>
        <v>38</v>
      </c>
      <c r="L11" s="17">
        <f t="shared" si="4"/>
        <v>73.555555555555557</v>
      </c>
    </row>
    <row r="12" spans="2:12" s="9" customFormat="1" ht="23.1" customHeight="1">
      <c r="B12" s="19">
        <v>4</v>
      </c>
      <c r="C12" s="14" t="s">
        <v>254</v>
      </c>
      <c r="D12" s="15">
        <v>5224515</v>
      </c>
      <c r="E12" s="16">
        <v>15</v>
      </c>
      <c r="F12" s="16">
        <v>12</v>
      </c>
      <c r="G12" s="16">
        <v>13</v>
      </c>
      <c r="H12" s="17">
        <f t="shared" si="2"/>
        <v>35.555555555555557</v>
      </c>
      <c r="I12" s="17">
        <v>18</v>
      </c>
      <c r="J12" s="17">
        <v>20</v>
      </c>
      <c r="K12" s="17">
        <f t="shared" si="3"/>
        <v>38</v>
      </c>
      <c r="L12" s="17">
        <f t="shared" si="4"/>
        <v>73.555555555555557</v>
      </c>
    </row>
    <row r="13" spans="2:12" s="9" customFormat="1" ht="23.1" customHeight="1">
      <c r="B13" s="19">
        <v>5</v>
      </c>
      <c r="C13" s="14" t="s">
        <v>248</v>
      </c>
      <c r="D13" s="15">
        <v>5437880</v>
      </c>
      <c r="E13" s="16">
        <v>13</v>
      </c>
      <c r="F13" s="16">
        <v>13</v>
      </c>
      <c r="G13" s="16">
        <v>14</v>
      </c>
      <c r="H13" s="17">
        <f t="shared" si="2"/>
        <v>35.555555555555557</v>
      </c>
      <c r="I13" s="17">
        <v>21</v>
      </c>
      <c r="J13" s="17">
        <v>18</v>
      </c>
      <c r="K13" s="17">
        <f t="shared" si="3"/>
        <v>39</v>
      </c>
      <c r="L13" s="17">
        <f t="shared" si="4"/>
        <v>74.555555555555557</v>
      </c>
    </row>
    <row r="14" spans="2:12" s="9" customFormat="1" ht="23.1" customHeight="1">
      <c r="B14" s="19">
        <v>6</v>
      </c>
      <c r="C14" s="14" t="s">
        <v>230</v>
      </c>
      <c r="D14" s="15">
        <v>5702169</v>
      </c>
      <c r="E14" s="16">
        <v>15</v>
      </c>
      <c r="F14" s="16">
        <v>15</v>
      </c>
      <c r="G14" s="16">
        <v>15</v>
      </c>
      <c r="H14" s="17">
        <f t="shared" si="2"/>
        <v>40</v>
      </c>
      <c r="I14" s="17">
        <v>21</v>
      </c>
      <c r="J14" s="17">
        <v>22</v>
      </c>
      <c r="K14" s="17">
        <f t="shared" si="3"/>
        <v>43</v>
      </c>
      <c r="L14" s="17">
        <f t="shared" si="4"/>
        <v>83</v>
      </c>
    </row>
    <row r="15" spans="2:12" s="9" customFormat="1" ht="23.1" customHeight="1">
      <c r="B15" s="19">
        <v>7</v>
      </c>
      <c r="C15" s="14" t="s">
        <v>251</v>
      </c>
      <c r="D15" s="15">
        <v>5306895</v>
      </c>
      <c r="E15" s="16">
        <v>14</v>
      </c>
      <c r="F15" s="16">
        <v>15</v>
      </c>
      <c r="G15" s="16">
        <v>15</v>
      </c>
      <c r="H15" s="17">
        <f t="shared" si="2"/>
        <v>39.111111111111114</v>
      </c>
      <c r="I15" s="17">
        <v>17</v>
      </c>
      <c r="J15" s="17">
        <v>18</v>
      </c>
      <c r="K15" s="17">
        <f t="shared" si="3"/>
        <v>35</v>
      </c>
      <c r="L15" s="17">
        <f t="shared" si="4"/>
        <v>74.111111111111114</v>
      </c>
    </row>
    <row r="16" spans="2:12" s="9" customFormat="1" ht="23.1" customHeight="1">
      <c r="B16" s="19">
        <v>8</v>
      </c>
      <c r="C16" s="14" t="s">
        <v>234</v>
      </c>
      <c r="D16" s="15">
        <v>5181391</v>
      </c>
      <c r="E16" s="16">
        <v>15</v>
      </c>
      <c r="F16" s="16">
        <v>14</v>
      </c>
      <c r="G16" s="16">
        <v>15</v>
      </c>
      <c r="H16" s="17">
        <f t="shared" si="2"/>
        <v>39.111111111111114</v>
      </c>
      <c r="I16" s="17">
        <v>24</v>
      </c>
      <c r="J16" s="17">
        <v>19</v>
      </c>
      <c r="K16" s="17">
        <f t="shared" si="3"/>
        <v>43</v>
      </c>
      <c r="L16" s="17">
        <f t="shared" si="4"/>
        <v>82.111111111111114</v>
      </c>
    </row>
    <row r="17" spans="2:12" s="9" customFormat="1" ht="23.1" customHeight="1">
      <c r="B17" s="19">
        <v>9</v>
      </c>
      <c r="C17" s="14" t="s">
        <v>241</v>
      </c>
      <c r="D17" s="15">
        <v>7165876</v>
      </c>
      <c r="E17" s="16">
        <v>12</v>
      </c>
      <c r="F17" s="16">
        <v>14</v>
      </c>
      <c r="G17" s="16">
        <v>15</v>
      </c>
      <c r="H17" s="17">
        <f t="shared" si="2"/>
        <v>36.44444444444445</v>
      </c>
      <c r="I17" s="17">
        <v>22</v>
      </c>
      <c r="J17" s="17">
        <v>18</v>
      </c>
      <c r="K17" s="17">
        <f t="shared" si="3"/>
        <v>40</v>
      </c>
      <c r="L17" s="17">
        <f t="shared" si="4"/>
        <v>76.444444444444457</v>
      </c>
    </row>
    <row r="18" spans="2:12" s="9" customFormat="1" ht="23.1" customHeight="1">
      <c r="B18" s="19">
        <v>10</v>
      </c>
      <c r="C18" s="14" t="s">
        <v>243</v>
      </c>
      <c r="D18" s="15">
        <v>5373805</v>
      </c>
      <c r="E18" s="16">
        <v>15</v>
      </c>
      <c r="F18" s="16">
        <v>15</v>
      </c>
      <c r="G18" s="16">
        <v>14</v>
      </c>
      <c r="H18" s="17">
        <f t="shared" si="2"/>
        <v>39.111111111111114</v>
      </c>
      <c r="I18" s="17">
        <v>16</v>
      </c>
      <c r="J18" s="17">
        <v>21</v>
      </c>
      <c r="K18" s="17">
        <f t="shared" si="3"/>
        <v>37</v>
      </c>
      <c r="L18" s="17">
        <f t="shared" si="4"/>
        <v>76.111111111111114</v>
      </c>
    </row>
    <row r="19" spans="2:12" s="9" customFormat="1" ht="23.1" customHeight="1">
      <c r="B19" s="19">
        <v>11</v>
      </c>
      <c r="C19" s="14" t="s">
        <v>233</v>
      </c>
      <c r="D19" s="15">
        <v>5255027</v>
      </c>
      <c r="E19" s="16">
        <v>13</v>
      </c>
      <c r="F19" s="16">
        <v>15</v>
      </c>
      <c r="G19" s="16">
        <v>15</v>
      </c>
      <c r="H19" s="17">
        <f t="shared" si="2"/>
        <v>38.222222222222221</v>
      </c>
      <c r="I19" s="17">
        <v>20</v>
      </c>
      <c r="J19" s="17">
        <v>24</v>
      </c>
      <c r="K19" s="17">
        <f t="shared" si="3"/>
        <v>44</v>
      </c>
      <c r="L19" s="17">
        <f t="shared" si="4"/>
        <v>82.222222222222229</v>
      </c>
    </row>
    <row r="20" spans="2:12" s="9" customFormat="1" ht="23.1" customHeight="1">
      <c r="B20" s="19">
        <v>12</v>
      </c>
      <c r="C20" s="14" t="s">
        <v>252</v>
      </c>
      <c r="D20" s="15">
        <v>5784378</v>
      </c>
      <c r="E20" s="16">
        <v>14</v>
      </c>
      <c r="F20" s="16">
        <v>15</v>
      </c>
      <c r="G20" s="16">
        <v>15</v>
      </c>
      <c r="H20" s="17">
        <f t="shared" si="2"/>
        <v>39.111111111111114</v>
      </c>
      <c r="I20" s="17">
        <v>15</v>
      </c>
      <c r="J20" s="17">
        <v>20</v>
      </c>
      <c r="K20" s="17">
        <f t="shared" si="3"/>
        <v>35</v>
      </c>
      <c r="L20" s="17">
        <f t="shared" si="4"/>
        <v>74.111111111111114</v>
      </c>
    </row>
    <row r="21" spans="2:12" s="9" customFormat="1" ht="23.1" customHeight="1">
      <c r="B21" s="19">
        <v>13</v>
      </c>
      <c r="C21" s="14" t="s">
        <v>240</v>
      </c>
      <c r="D21" s="15">
        <v>8097176</v>
      </c>
      <c r="E21" s="16">
        <v>13</v>
      </c>
      <c r="F21" s="16">
        <v>14</v>
      </c>
      <c r="G21" s="16">
        <v>12</v>
      </c>
      <c r="H21" s="17">
        <f t="shared" si="2"/>
        <v>34.666666666666671</v>
      </c>
      <c r="I21" s="17">
        <v>25</v>
      </c>
      <c r="J21" s="17">
        <v>17</v>
      </c>
      <c r="K21" s="17">
        <f t="shared" si="3"/>
        <v>42</v>
      </c>
      <c r="L21" s="17">
        <f t="shared" si="4"/>
        <v>76.666666666666671</v>
      </c>
    </row>
    <row r="22" spans="2:12" s="9" customFormat="1" ht="23.1" customHeight="1">
      <c r="B22" s="19">
        <v>14</v>
      </c>
      <c r="C22" s="14" t="s">
        <v>244</v>
      </c>
      <c r="D22" s="15">
        <v>5813922</v>
      </c>
      <c r="E22" s="16">
        <v>11</v>
      </c>
      <c r="F22" s="16">
        <v>10</v>
      </c>
      <c r="G22" s="16">
        <v>15</v>
      </c>
      <c r="H22" s="17">
        <f t="shared" si="2"/>
        <v>32</v>
      </c>
      <c r="I22" s="17">
        <v>27</v>
      </c>
      <c r="J22" s="17">
        <v>17</v>
      </c>
      <c r="K22" s="17">
        <f t="shared" si="3"/>
        <v>44</v>
      </c>
      <c r="L22" s="17">
        <f t="shared" si="4"/>
        <v>76</v>
      </c>
    </row>
    <row r="23" spans="2:12" s="9" customFormat="1" ht="23.1" customHeight="1">
      <c r="B23" s="19">
        <v>15</v>
      </c>
      <c r="C23" s="14" t="s">
        <v>238</v>
      </c>
      <c r="D23" s="15">
        <v>7071207</v>
      </c>
      <c r="E23" s="16">
        <v>15</v>
      </c>
      <c r="F23" s="16">
        <v>14</v>
      </c>
      <c r="G23" s="16">
        <v>15</v>
      </c>
      <c r="H23" s="17">
        <f t="shared" si="2"/>
        <v>39.111111111111114</v>
      </c>
      <c r="I23" s="17">
        <v>22</v>
      </c>
      <c r="J23" s="17">
        <v>17</v>
      </c>
      <c r="K23" s="17">
        <f t="shared" si="3"/>
        <v>39</v>
      </c>
      <c r="L23" s="17">
        <f t="shared" si="4"/>
        <v>78.111111111111114</v>
      </c>
    </row>
    <row r="24" spans="2:12" s="9" customFormat="1" ht="23.1" customHeight="1">
      <c r="B24" s="19">
        <v>16</v>
      </c>
      <c r="C24" s="14" t="s">
        <v>231</v>
      </c>
      <c r="D24" s="15">
        <v>5740041</v>
      </c>
      <c r="E24" s="16">
        <v>15</v>
      </c>
      <c r="F24" s="16">
        <v>15</v>
      </c>
      <c r="G24" s="16">
        <v>15</v>
      </c>
      <c r="H24" s="17">
        <f t="shared" si="2"/>
        <v>40</v>
      </c>
      <c r="I24" s="17">
        <v>23</v>
      </c>
      <c r="J24" s="17">
        <v>20</v>
      </c>
      <c r="K24" s="17">
        <f t="shared" si="3"/>
        <v>43</v>
      </c>
      <c r="L24" s="17">
        <f t="shared" si="4"/>
        <v>83</v>
      </c>
    </row>
    <row r="25" spans="2:12" s="9" customFormat="1" ht="23.1" customHeight="1">
      <c r="B25" s="19">
        <v>17</v>
      </c>
      <c r="C25" s="14" t="s">
        <v>235</v>
      </c>
      <c r="D25" s="15">
        <v>5404904</v>
      </c>
      <c r="E25" s="16">
        <v>15</v>
      </c>
      <c r="F25" s="16">
        <v>15</v>
      </c>
      <c r="G25" s="16">
        <v>15</v>
      </c>
      <c r="H25" s="17">
        <f t="shared" si="2"/>
        <v>40</v>
      </c>
      <c r="I25" s="17">
        <v>18</v>
      </c>
      <c r="J25" s="17">
        <v>24</v>
      </c>
      <c r="K25" s="17">
        <f t="shared" si="3"/>
        <v>42</v>
      </c>
      <c r="L25" s="17">
        <f t="shared" si="4"/>
        <v>82</v>
      </c>
    </row>
    <row r="26" spans="2:12" s="9" customFormat="1" ht="23.1" customHeight="1">
      <c r="B26" s="19">
        <v>18</v>
      </c>
      <c r="C26" s="14" t="s">
        <v>247</v>
      </c>
      <c r="D26" s="15">
        <v>5443624</v>
      </c>
      <c r="E26" s="16">
        <v>11</v>
      </c>
      <c r="F26" s="16">
        <v>13</v>
      </c>
      <c r="G26" s="16">
        <v>15</v>
      </c>
      <c r="H26" s="17">
        <f t="shared" si="2"/>
        <v>34.666666666666671</v>
      </c>
      <c r="I26" s="17">
        <v>23</v>
      </c>
      <c r="J26" s="17">
        <v>17</v>
      </c>
      <c r="K26" s="17">
        <f t="shared" si="3"/>
        <v>40</v>
      </c>
      <c r="L26" s="17">
        <f t="shared" si="4"/>
        <v>74.666666666666671</v>
      </c>
    </row>
    <row r="27" spans="2:12" s="9" customFormat="1" ht="23.1" customHeight="1">
      <c r="B27" s="19">
        <v>19</v>
      </c>
      <c r="C27" s="14" t="s">
        <v>255</v>
      </c>
      <c r="D27" s="15">
        <v>5392793</v>
      </c>
      <c r="E27" s="16">
        <v>13</v>
      </c>
      <c r="F27" s="16">
        <v>14</v>
      </c>
      <c r="G27" s="16">
        <v>15</v>
      </c>
      <c r="H27" s="17">
        <f t="shared" si="2"/>
        <v>37.333333333333336</v>
      </c>
      <c r="I27" s="17">
        <v>16</v>
      </c>
      <c r="J27" s="17">
        <v>20</v>
      </c>
      <c r="K27" s="17">
        <f t="shared" si="3"/>
        <v>36</v>
      </c>
      <c r="L27" s="17">
        <f t="shared" si="4"/>
        <v>73.333333333333343</v>
      </c>
    </row>
    <row r="28" spans="2:12" s="9" customFormat="1" ht="23.1" customHeight="1">
      <c r="B28" s="19">
        <v>20</v>
      </c>
      <c r="C28" s="14" t="s">
        <v>229</v>
      </c>
      <c r="D28" s="15">
        <v>5334784</v>
      </c>
      <c r="E28" s="16">
        <v>15</v>
      </c>
      <c r="F28" s="16">
        <v>15</v>
      </c>
      <c r="G28" s="16">
        <v>15</v>
      </c>
      <c r="H28" s="17">
        <f t="shared" si="2"/>
        <v>40</v>
      </c>
      <c r="I28" s="17">
        <v>22</v>
      </c>
      <c r="J28" s="17">
        <v>25</v>
      </c>
      <c r="K28" s="17">
        <f t="shared" si="3"/>
        <v>47</v>
      </c>
      <c r="L28" s="17">
        <f t="shared" si="4"/>
        <v>87</v>
      </c>
    </row>
    <row r="29" spans="2:12" s="9" customFormat="1" ht="23.1" customHeight="1">
      <c r="B29" s="19">
        <v>21</v>
      </c>
      <c r="C29" s="14" t="s">
        <v>246</v>
      </c>
      <c r="D29" s="15">
        <v>5621161</v>
      </c>
      <c r="E29" s="16">
        <v>15</v>
      </c>
      <c r="F29" s="16">
        <v>15</v>
      </c>
      <c r="G29" s="16">
        <v>15</v>
      </c>
      <c r="H29" s="17">
        <f t="shared" si="2"/>
        <v>40</v>
      </c>
      <c r="I29" s="17">
        <v>17</v>
      </c>
      <c r="J29" s="17">
        <v>18</v>
      </c>
      <c r="K29" s="17">
        <f t="shared" si="3"/>
        <v>35</v>
      </c>
      <c r="L29" s="17">
        <f t="shared" si="4"/>
        <v>75</v>
      </c>
    </row>
    <row r="30" spans="2:12" s="9" customFormat="1" ht="23.1" customHeight="1">
      <c r="B30" s="19">
        <v>22</v>
      </c>
      <c r="C30" s="14" t="s">
        <v>245</v>
      </c>
      <c r="D30" s="15">
        <v>5144148</v>
      </c>
      <c r="E30" s="16">
        <v>9</v>
      </c>
      <c r="F30" s="16">
        <v>13</v>
      </c>
      <c r="G30" s="16">
        <v>9</v>
      </c>
      <c r="H30" s="17">
        <f t="shared" si="2"/>
        <v>27.555555555555557</v>
      </c>
      <c r="I30" s="17">
        <v>26</v>
      </c>
      <c r="J30" s="17">
        <v>22</v>
      </c>
      <c r="K30" s="17">
        <f t="shared" si="3"/>
        <v>48</v>
      </c>
      <c r="L30" s="17">
        <f t="shared" si="4"/>
        <v>75.555555555555557</v>
      </c>
    </row>
    <row r="31" spans="2:12" s="9" customFormat="1" ht="23.1" customHeight="1">
      <c r="B31" s="19">
        <v>23</v>
      </c>
      <c r="C31" s="14" t="s">
        <v>249</v>
      </c>
      <c r="D31" s="15">
        <v>6252925</v>
      </c>
      <c r="E31" s="16">
        <v>15</v>
      </c>
      <c r="F31" s="16">
        <v>14</v>
      </c>
      <c r="G31" s="16">
        <v>14</v>
      </c>
      <c r="H31" s="17">
        <f t="shared" si="2"/>
        <v>38.222222222222221</v>
      </c>
      <c r="I31" s="17">
        <v>21</v>
      </c>
      <c r="J31" s="17">
        <v>15</v>
      </c>
      <c r="K31" s="17">
        <f t="shared" si="3"/>
        <v>36</v>
      </c>
      <c r="L31" s="17">
        <f t="shared" si="4"/>
        <v>74.222222222222229</v>
      </c>
    </row>
    <row r="32" spans="2:12" s="9" customFormat="1" ht="23.1" customHeight="1">
      <c r="B32" s="19">
        <v>24</v>
      </c>
      <c r="C32" s="18" t="s">
        <v>250</v>
      </c>
      <c r="D32" s="15">
        <v>5773262</v>
      </c>
      <c r="E32" s="16">
        <v>14</v>
      </c>
      <c r="F32" s="16">
        <v>15</v>
      </c>
      <c r="G32" s="16">
        <v>14</v>
      </c>
      <c r="H32" s="17">
        <f t="shared" si="2"/>
        <v>38.222222222222221</v>
      </c>
      <c r="I32" s="17">
        <v>19</v>
      </c>
      <c r="J32" s="17">
        <v>17</v>
      </c>
      <c r="K32" s="17">
        <f t="shared" si="3"/>
        <v>36</v>
      </c>
      <c r="L32" s="17">
        <f t="shared" si="4"/>
        <v>74.222222222222229</v>
      </c>
    </row>
    <row r="33" spans="2:12" s="9" customFormat="1" ht="23.1" customHeight="1">
      <c r="B33" s="19">
        <v>25</v>
      </c>
      <c r="C33" s="14" t="s">
        <v>236</v>
      </c>
      <c r="D33" s="15">
        <v>5290545</v>
      </c>
      <c r="E33" s="16">
        <v>12</v>
      </c>
      <c r="F33" s="16">
        <v>15</v>
      </c>
      <c r="G33" s="16">
        <v>15</v>
      </c>
      <c r="H33" s="17">
        <f t="shared" si="2"/>
        <v>37.333333333333336</v>
      </c>
      <c r="I33" s="17">
        <v>22</v>
      </c>
      <c r="J33" s="17">
        <v>21</v>
      </c>
      <c r="K33" s="17">
        <f t="shared" si="3"/>
        <v>43</v>
      </c>
      <c r="L33" s="17">
        <f t="shared" si="4"/>
        <v>80.333333333333343</v>
      </c>
    </row>
    <row r="34" spans="2:12" s="9" customFormat="1" ht="23.1" customHeight="1">
      <c r="B34" s="19">
        <v>26</v>
      </c>
      <c r="C34" s="14" t="s">
        <v>232</v>
      </c>
      <c r="D34" s="15">
        <v>5595846</v>
      </c>
      <c r="E34" s="16">
        <v>15</v>
      </c>
      <c r="F34" s="16">
        <v>15</v>
      </c>
      <c r="G34" s="16">
        <v>15</v>
      </c>
      <c r="H34" s="17">
        <f t="shared" si="2"/>
        <v>40</v>
      </c>
      <c r="I34" s="17">
        <v>24</v>
      </c>
      <c r="J34" s="17">
        <v>19</v>
      </c>
      <c r="K34" s="17">
        <f t="shared" si="3"/>
        <v>43</v>
      </c>
      <c r="L34" s="17">
        <f t="shared" si="4"/>
        <v>83</v>
      </c>
    </row>
    <row r="35" spans="2:12" s="9" customFormat="1" ht="23.1" customHeight="1">
      <c r="B35" s="19">
        <v>27</v>
      </c>
      <c r="C35" s="14" t="s">
        <v>237</v>
      </c>
      <c r="D35" s="15">
        <v>5688752</v>
      </c>
      <c r="E35" s="16">
        <v>15</v>
      </c>
      <c r="F35" s="16">
        <v>15</v>
      </c>
      <c r="G35" s="16">
        <v>15</v>
      </c>
      <c r="H35" s="17">
        <f t="shared" si="2"/>
        <v>40</v>
      </c>
      <c r="I35" s="17">
        <v>20</v>
      </c>
      <c r="J35" s="17">
        <v>20</v>
      </c>
      <c r="K35" s="17">
        <f t="shared" si="3"/>
        <v>40</v>
      </c>
      <c r="L35" s="17">
        <f t="shared" si="4"/>
        <v>80</v>
      </c>
    </row>
    <row r="36" spans="2:12" s="9" customFormat="1" ht="23.1" customHeight="1">
      <c r="B36" s="19">
        <v>28</v>
      </c>
      <c r="C36" s="14" t="s">
        <v>256</v>
      </c>
      <c r="D36" s="15">
        <v>5446131</v>
      </c>
      <c r="E36" s="16">
        <v>15</v>
      </c>
      <c r="F36" s="16">
        <v>14</v>
      </c>
      <c r="G36" s="16">
        <v>15</v>
      </c>
      <c r="H36" s="17">
        <f t="shared" ref="H36" si="5">SUM(E36:G36)*100/45*0.4</f>
        <v>39.111111111111114</v>
      </c>
      <c r="I36" s="17">
        <v>18</v>
      </c>
      <c r="J36" s="17">
        <v>16</v>
      </c>
      <c r="K36" s="17">
        <f t="shared" ref="K36" si="6">SUM(I36:J36)</f>
        <v>34</v>
      </c>
      <c r="L36" s="17">
        <f t="shared" ref="L36" si="7">H36+K36</f>
        <v>73.111111111111114</v>
      </c>
    </row>
  </sheetData>
  <sortState ref="C9:L35">
    <sortCondition ref="C9:C35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2.7109375" customWidth="1"/>
    <col min="2" max="2" width="3.5703125" bestFit="1" customWidth="1"/>
    <col min="3" max="3" width="42.42578125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23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45" t="s">
        <v>2</v>
      </c>
      <c r="C6" s="45" t="s">
        <v>3</v>
      </c>
      <c r="D6" s="47" t="s">
        <v>4</v>
      </c>
      <c r="E6" s="49" t="s">
        <v>5</v>
      </c>
      <c r="F6" s="50"/>
      <c r="G6" s="51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46"/>
      <c r="C7" s="46"/>
      <c r="D7" s="48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29"/>
    </row>
    <row r="8" spans="2:12">
      <c r="B8" s="30" t="s">
        <v>20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20" customFormat="1" ht="23.1" customHeight="1">
      <c r="B9" s="19">
        <v>1</v>
      </c>
      <c r="C9" s="14" t="s">
        <v>259</v>
      </c>
      <c r="D9" s="15">
        <v>5305586</v>
      </c>
      <c r="E9" s="16">
        <v>12</v>
      </c>
      <c r="F9" s="16">
        <v>15</v>
      </c>
      <c r="G9" s="16">
        <v>14</v>
      </c>
      <c r="H9" s="17">
        <f t="shared" ref="H9:H36" si="2">SUM(E9:G9)*100/45*0.4</f>
        <v>36.44444444444445</v>
      </c>
      <c r="I9" s="17">
        <v>14</v>
      </c>
      <c r="J9" s="17">
        <v>22</v>
      </c>
      <c r="K9" s="17">
        <f t="shared" ref="K9:K36" si="3">SUM(I9:J9)</f>
        <v>36</v>
      </c>
      <c r="L9" s="17">
        <f t="shared" ref="L9:L36" si="4">H9+K9</f>
        <v>72.444444444444457</v>
      </c>
    </row>
    <row r="10" spans="2:12" s="20" customFormat="1" ht="23.1" customHeight="1">
      <c r="B10" s="19">
        <v>2</v>
      </c>
      <c r="C10" s="14" t="s">
        <v>283</v>
      </c>
      <c r="D10" s="15">
        <v>6082372</v>
      </c>
      <c r="E10" s="16">
        <v>13</v>
      </c>
      <c r="F10" s="16">
        <v>14</v>
      </c>
      <c r="G10" s="16">
        <v>15</v>
      </c>
      <c r="H10" s="17">
        <f t="shared" si="2"/>
        <v>37.333333333333336</v>
      </c>
      <c r="I10" s="17">
        <v>12</v>
      </c>
      <c r="J10" s="17">
        <v>17</v>
      </c>
      <c r="K10" s="17">
        <f t="shared" si="3"/>
        <v>29</v>
      </c>
      <c r="L10" s="17">
        <f t="shared" si="4"/>
        <v>66.333333333333343</v>
      </c>
    </row>
    <row r="11" spans="2:12" s="20" customFormat="1" ht="23.1" customHeight="1">
      <c r="B11" s="19">
        <v>3</v>
      </c>
      <c r="C11" s="14" t="s">
        <v>257</v>
      </c>
      <c r="D11" s="15">
        <v>5625850</v>
      </c>
      <c r="E11" s="16">
        <v>15</v>
      </c>
      <c r="F11" s="16">
        <v>15</v>
      </c>
      <c r="G11" s="16">
        <v>15</v>
      </c>
      <c r="H11" s="17">
        <f t="shared" si="2"/>
        <v>40</v>
      </c>
      <c r="I11" s="17">
        <v>14</v>
      </c>
      <c r="J11" s="17">
        <v>19</v>
      </c>
      <c r="K11" s="17">
        <f t="shared" si="3"/>
        <v>33</v>
      </c>
      <c r="L11" s="17">
        <f t="shared" si="4"/>
        <v>73</v>
      </c>
    </row>
    <row r="12" spans="2:12" s="20" customFormat="1" ht="23.1" customHeight="1">
      <c r="B12" s="19">
        <v>4</v>
      </c>
      <c r="C12" s="14" t="s">
        <v>258</v>
      </c>
      <c r="D12" s="15">
        <v>5867573</v>
      </c>
      <c r="E12" s="16">
        <v>15</v>
      </c>
      <c r="F12" s="16">
        <v>15</v>
      </c>
      <c r="G12" s="16">
        <v>15</v>
      </c>
      <c r="H12" s="17">
        <f t="shared" si="2"/>
        <v>40</v>
      </c>
      <c r="I12" s="17">
        <v>13</v>
      </c>
      <c r="J12" s="17">
        <v>20</v>
      </c>
      <c r="K12" s="17">
        <f t="shared" si="3"/>
        <v>33</v>
      </c>
      <c r="L12" s="17">
        <f t="shared" si="4"/>
        <v>73</v>
      </c>
    </row>
    <row r="13" spans="2:12" s="20" customFormat="1" ht="23.1" customHeight="1">
      <c r="B13" s="19">
        <v>5</v>
      </c>
      <c r="C13" s="14" t="s">
        <v>279</v>
      </c>
      <c r="D13" s="15">
        <v>5283878</v>
      </c>
      <c r="E13" s="16">
        <v>11</v>
      </c>
      <c r="F13" s="16">
        <v>13</v>
      </c>
      <c r="G13" s="16">
        <v>11</v>
      </c>
      <c r="H13" s="17">
        <f t="shared" si="2"/>
        <v>31.111111111111111</v>
      </c>
      <c r="I13" s="17">
        <v>16</v>
      </c>
      <c r="J13" s="17">
        <v>20</v>
      </c>
      <c r="K13" s="17">
        <f t="shared" si="3"/>
        <v>36</v>
      </c>
      <c r="L13" s="17">
        <f t="shared" si="4"/>
        <v>67.111111111111114</v>
      </c>
    </row>
    <row r="14" spans="2:12" s="20" customFormat="1" ht="23.1" customHeight="1">
      <c r="B14" s="19">
        <v>6</v>
      </c>
      <c r="C14" s="14" t="s">
        <v>260</v>
      </c>
      <c r="D14" s="15">
        <v>7127351</v>
      </c>
      <c r="E14" s="16">
        <v>13</v>
      </c>
      <c r="F14" s="16">
        <v>14</v>
      </c>
      <c r="G14" s="16">
        <v>14</v>
      </c>
      <c r="H14" s="17">
        <f t="shared" si="2"/>
        <v>36.44444444444445</v>
      </c>
      <c r="I14" s="17">
        <v>18</v>
      </c>
      <c r="J14" s="17">
        <v>18</v>
      </c>
      <c r="K14" s="17">
        <f t="shared" si="3"/>
        <v>36</v>
      </c>
      <c r="L14" s="17">
        <f t="shared" si="4"/>
        <v>72.444444444444457</v>
      </c>
    </row>
    <row r="15" spans="2:12" s="20" customFormat="1" ht="23.1" customHeight="1">
      <c r="B15" s="19">
        <v>7</v>
      </c>
      <c r="C15" s="14" t="s">
        <v>269</v>
      </c>
      <c r="D15" s="15">
        <v>5989075</v>
      </c>
      <c r="E15" s="16">
        <v>13</v>
      </c>
      <c r="F15" s="16">
        <v>15</v>
      </c>
      <c r="G15" s="16">
        <v>15</v>
      </c>
      <c r="H15" s="17">
        <f t="shared" si="2"/>
        <v>38.222222222222221</v>
      </c>
      <c r="I15" s="17">
        <v>14</v>
      </c>
      <c r="J15" s="17">
        <v>18</v>
      </c>
      <c r="K15" s="17">
        <f t="shared" si="3"/>
        <v>32</v>
      </c>
      <c r="L15" s="17">
        <f t="shared" si="4"/>
        <v>70.222222222222229</v>
      </c>
    </row>
    <row r="16" spans="2:12" s="20" customFormat="1" ht="23.1" customHeight="1">
      <c r="B16" s="19">
        <v>8</v>
      </c>
      <c r="C16" s="14" t="s">
        <v>277</v>
      </c>
      <c r="D16" s="15">
        <v>7159627</v>
      </c>
      <c r="E16" s="16">
        <v>15</v>
      </c>
      <c r="F16" s="16">
        <v>15</v>
      </c>
      <c r="G16" s="16">
        <v>15</v>
      </c>
      <c r="H16" s="17">
        <f t="shared" si="2"/>
        <v>40</v>
      </c>
      <c r="I16" s="17">
        <v>14</v>
      </c>
      <c r="J16" s="17">
        <v>14</v>
      </c>
      <c r="K16" s="17">
        <f t="shared" si="3"/>
        <v>28</v>
      </c>
      <c r="L16" s="17">
        <f t="shared" si="4"/>
        <v>68</v>
      </c>
    </row>
    <row r="17" spans="2:12" s="20" customFormat="1" ht="23.1" customHeight="1">
      <c r="B17" s="19">
        <v>9</v>
      </c>
      <c r="C17" s="14" t="s">
        <v>261</v>
      </c>
      <c r="D17" s="15">
        <v>5309506</v>
      </c>
      <c r="E17" s="16">
        <v>15</v>
      </c>
      <c r="F17" s="16">
        <v>13</v>
      </c>
      <c r="G17" s="16">
        <v>14</v>
      </c>
      <c r="H17" s="17">
        <f t="shared" si="2"/>
        <v>37.333333333333336</v>
      </c>
      <c r="I17" s="17">
        <v>16</v>
      </c>
      <c r="J17" s="17">
        <v>19</v>
      </c>
      <c r="K17" s="17">
        <f t="shared" si="3"/>
        <v>35</v>
      </c>
      <c r="L17" s="17">
        <f t="shared" si="4"/>
        <v>72.333333333333343</v>
      </c>
    </row>
    <row r="18" spans="2:12" s="20" customFormat="1" ht="23.1" customHeight="1">
      <c r="B18" s="19">
        <v>10</v>
      </c>
      <c r="C18" s="14" t="s">
        <v>265</v>
      </c>
      <c r="D18" s="15">
        <v>5669886</v>
      </c>
      <c r="E18" s="16">
        <v>13</v>
      </c>
      <c r="F18" s="16">
        <v>11</v>
      </c>
      <c r="G18" s="16">
        <v>11</v>
      </c>
      <c r="H18" s="17">
        <f t="shared" si="2"/>
        <v>31.111111111111111</v>
      </c>
      <c r="I18" s="17">
        <v>21</v>
      </c>
      <c r="J18" s="17">
        <v>19</v>
      </c>
      <c r="K18" s="17">
        <f t="shared" si="3"/>
        <v>40</v>
      </c>
      <c r="L18" s="17">
        <f t="shared" si="4"/>
        <v>71.111111111111114</v>
      </c>
    </row>
    <row r="19" spans="2:12" s="20" customFormat="1" ht="23.1" customHeight="1">
      <c r="B19" s="19">
        <v>11</v>
      </c>
      <c r="C19" s="14" t="s">
        <v>262</v>
      </c>
      <c r="D19" s="15">
        <v>6688936</v>
      </c>
      <c r="E19" s="16">
        <v>15</v>
      </c>
      <c r="F19" s="16">
        <v>15</v>
      </c>
      <c r="G19" s="16">
        <v>15</v>
      </c>
      <c r="H19" s="17">
        <f t="shared" si="2"/>
        <v>40</v>
      </c>
      <c r="I19" s="17">
        <v>13</v>
      </c>
      <c r="J19" s="17">
        <v>19</v>
      </c>
      <c r="K19" s="17">
        <f t="shared" si="3"/>
        <v>32</v>
      </c>
      <c r="L19" s="17">
        <f t="shared" si="4"/>
        <v>72</v>
      </c>
    </row>
    <row r="20" spans="2:12" s="20" customFormat="1" ht="23.1" customHeight="1">
      <c r="B20" s="19">
        <v>12</v>
      </c>
      <c r="C20" s="14" t="s">
        <v>266</v>
      </c>
      <c r="D20" s="15">
        <v>5364097</v>
      </c>
      <c r="E20" s="16">
        <v>15</v>
      </c>
      <c r="F20" s="16">
        <v>15</v>
      </c>
      <c r="G20" s="16">
        <v>15</v>
      </c>
      <c r="H20" s="17">
        <f t="shared" si="2"/>
        <v>40</v>
      </c>
      <c r="I20" s="17">
        <v>13</v>
      </c>
      <c r="J20" s="17">
        <v>18</v>
      </c>
      <c r="K20" s="17">
        <f t="shared" si="3"/>
        <v>31</v>
      </c>
      <c r="L20" s="17">
        <f t="shared" si="4"/>
        <v>71</v>
      </c>
    </row>
    <row r="21" spans="2:12" s="20" customFormat="1" ht="23.1" customHeight="1">
      <c r="B21" s="19">
        <v>13</v>
      </c>
      <c r="C21" s="14" t="s">
        <v>284</v>
      </c>
      <c r="D21" s="15">
        <v>5358520</v>
      </c>
      <c r="E21" s="16">
        <v>11</v>
      </c>
      <c r="F21" s="16">
        <v>10</v>
      </c>
      <c r="G21" s="16">
        <v>13</v>
      </c>
      <c r="H21" s="17">
        <f t="shared" si="2"/>
        <v>30.222222222222225</v>
      </c>
      <c r="I21" s="17">
        <v>21</v>
      </c>
      <c r="J21" s="17">
        <v>15</v>
      </c>
      <c r="K21" s="17">
        <f t="shared" si="3"/>
        <v>36</v>
      </c>
      <c r="L21" s="17">
        <f t="shared" si="4"/>
        <v>66.222222222222229</v>
      </c>
    </row>
    <row r="22" spans="2:12" s="20" customFormat="1" ht="23.1" customHeight="1">
      <c r="B22" s="19">
        <v>14</v>
      </c>
      <c r="C22" s="14" t="s">
        <v>272</v>
      </c>
      <c r="D22" s="15">
        <v>5177041</v>
      </c>
      <c r="E22" s="16">
        <v>11</v>
      </c>
      <c r="F22" s="16">
        <v>14</v>
      </c>
      <c r="G22" s="16">
        <v>14</v>
      </c>
      <c r="H22" s="17">
        <f t="shared" si="2"/>
        <v>34.666666666666671</v>
      </c>
      <c r="I22" s="17">
        <v>21</v>
      </c>
      <c r="J22" s="17">
        <v>14</v>
      </c>
      <c r="K22" s="17">
        <f t="shared" si="3"/>
        <v>35</v>
      </c>
      <c r="L22" s="17">
        <f t="shared" si="4"/>
        <v>69.666666666666671</v>
      </c>
    </row>
    <row r="23" spans="2:12" s="20" customFormat="1" ht="23.1" customHeight="1">
      <c r="B23" s="19">
        <v>15</v>
      </c>
      <c r="C23" s="14" t="s">
        <v>276</v>
      </c>
      <c r="D23" s="15">
        <v>5460253</v>
      </c>
      <c r="E23" s="16">
        <v>13</v>
      </c>
      <c r="F23" s="16">
        <v>14</v>
      </c>
      <c r="G23" s="16">
        <v>15</v>
      </c>
      <c r="H23" s="17">
        <f t="shared" si="2"/>
        <v>37.333333333333336</v>
      </c>
      <c r="I23" s="17">
        <v>16</v>
      </c>
      <c r="J23" s="17">
        <v>15</v>
      </c>
      <c r="K23" s="17">
        <f t="shared" si="3"/>
        <v>31</v>
      </c>
      <c r="L23" s="17">
        <f t="shared" si="4"/>
        <v>68.333333333333343</v>
      </c>
    </row>
    <row r="24" spans="2:12" s="20" customFormat="1" ht="23.1" customHeight="1">
      <c r="B24" s="19">
        <v>16</v>
      </c>
      <c r="C24" s="14" t="s">
        <v>264</v>
      </c>
      <c r="D24" s="15">
        <v>5738769</v>
      </c>
      <c r="E24" s="16">
        <v>15</v>
      </c>
      <c r="F24" s="16">
        <v>14</v>
      </c>
      <c r="G24" s="16">
        <v>13</v>
      </c>
      <c r="H24" s="17">
        <f t="shared" si="2"/>
        <v>37.333333333333336</v>
      </c>
      <c r="I24" s="17">
        <v>13</v>
      </c>
      <c r="J24" s="17">
        <v>21</v>
      </c>
      <c r="K24" s="17">
        <f t="shared" si="3"/>
        <v>34</v>
      </c>
      <c r="L24" s="17">
        <f t="shared" si="4"/>
        <v>71.333333333333343</v>
      </c>
    </row>
    <row r="25" spans="2:12" s="20" customFormat="1" ht="23.1" customHeight="1">
      <c r="B25" s="19">
        <v>17</v>
      </c>
      <c r="C25" s="14" t="s">
        <v>268</v>
      </c>
      <c r="D25" s="15">
        <v>6557503</v>
      </c>
      <c r="E25" s="16">
        <v>14</v>
      </c>
      <c r="F25" s="16">
        <v>15</v>
      </c>
      <c r="G25" s="16">
        <v>13</v>
      </c>
      <c r="H25" s="17">
        <f t="shared" si="2"/>
        <v>37.333333333333336</v>
      </c>
      <c r="I25" s="17">
        <v>19</v>
      </c>
      <c r="J25" s="17">
        <v>14</v>
      </c>
      <c r="K25" s="17">
        <f t="shared" si="3"/>
        <v>33</v>
      </c>
      <c r="L25" s="17">
        <f t="shared" si="4"/>
        <v>70.333333333333343</v>
      </c>
    </row>
    <row r="26" spans="2:12" s="20" customFormat="1" ht="23.1" customHeight="1">
      <c r="B26" s="19">
        <v>18</v>
      </c>
      <c r="C26" s="14" t="s">
        <v>281</v>
      </c>
      <c r="D26" s="15">
        <v>6553084</v>
      </c>
      <c r="E26" s="16">
        <v>14</v>
      </c>
      <c r="F26" s="16">
        <v>13</v>
      </c>
      <c r="G26" s="16">
        <v>12</v>
      </c>
      <c r="H26" s="17">
        <f t="shared" si="2"/>
        <v>34.666666666666671</v>
      </c>
      <c r="I26" s="17">
        <v>15</v>
      </c>
      <c r="J26" s="17">
        <v>17</v>
      </c>
      <c r="K26" s="17">
        <f t="shared" si="3"/>
        <v>32</v>
      </c>
      <c r="L26" s="17">
        <f t="shared" si="4"/>
        <v>66.666666666666671</v>
      </c>
    </row>
    <row r="27" spans="2:12" s="20" customFormat="1" ht="23.1" customHeight="1">
      <c r="B27" s="19">
        <v>19</v>
      </c>
      <c r="C27" s="14" t="s">
        <v>273</v>
      </c>
      <c r="D27" s="15">
        <v>6777664</v>
      </c>
      <c r="E27" s="16">
        <v>12</v>
      </c>
      <c r="F27" s="16">
        <v>11</v>
      </c>
      <c r="G27" s="16">
        <v>12</v>
      </c>
      <c r="H27" s="17">
        <f t="shared" si="2"/>
        <v>31.111111111111111</v>
      </c>
      <c r="I27" s="17">
        <v>17</v>
      </c>
      <c r="J27" s="17">
        <v>21</v>
      </c>
      <c r="K27" s="17">
        <f t="shared" si="3"/>
        <v>38</v>
      </c>
      <c r="L27" s="17">
        <f t="shared" si="4"/>
        <v>69.111111111111114</v>
      </c>
    </row>
    <row r="28" spans="2:12" s="20" customFormat="1" ht="23.1" customHeight="1">
      <c r="B28" s="19">
        <v>20</v>
      </c>
      <c r="C28" s="14" t="s">
        <v>270</v>
      </c>
      <c r="D28" s="15">
        <v>5797146</v>
      </c>
      <c r="E28" s="16">
        <v>13</v>
      </c>
      <c r="F28" s="16">
        <v>15</v>
      </c>
      <c r="G28" s="16">
        <v>15</v>
      </c>
      <c r="H28" s="17">
        <f t="shared" si="2"/>
        <v>38.222222222222221</v>
      </c>
      <c r="I28" s="17">
        <v>14</v>
      </c>
      <c r="J28" s="17">
        <v>18</v>
      </c>
      <c r="K28" s="17">
        <f t="shared" si="3"/>
        <v>32</v>
      </c>
      <c r="L28" s="17">
        <f t="shared" si="4"/>
        <v>70.222222222222229</v>
      </c>
    </row>
    <row r="29" spans="2:12" s="20" customFormat="1" ht="23.1" customHeight="1">
      <c r="B29" s="19">
        <v>21</v>
      </c>
      <c r="C29" s="14" t="s">
        <v>275</v>
      </c>
      <c r="D29" s="15">
        <v>5709054</v>
      </c>
      <c r="E29" s="16">
        <v>12</v>
      </c>
      <c r="F29" s="16">
        <v>13</v>
      </c>
      <c r="G29" s="16">
        <v>14</v>
      </c>
      <c r="H29" s="17">
        <f t="shared" si="2"/>
        <v>34.666666666666671</v>
      </c>
      <c r="I29" s="17">
        <v>20</v>
      </c>
      <c r="J29" s="17">
        <v>14</v>
      </c>
      <c r="K29" s="17">
        <f t="shared" si="3"/>
        <v>34</v>
      </c>
      <c r="L29" s="17">
        <f t="shared" si="4"/>
        <v>68.666666666666671</v>
      </c>
    </row>
    <row r="30" spans="2:12" s="20" customFormat="1" ht="23.1" customHeight="1">
      <c r="B30" s="19">
        <v>22</v>
      </c>
      <c r="C30" s="14" t="s">
        <v>274</v>
      </c>
      <c r="D30" s="15">
        <v>5721011</v>
      </c>
      <c r="E30" s="16">
        <v>14</v>
      </c>
      <c r="F30" s="16">
        <v>11</v>
      </c>
      <c r="G30" s="16">
        <v>13</v>
      </c>
      <c r="H30" s="17">
        <f t="shared" si="2"/>
        <v>33.777777777777779</v>
      </c>
      <c r="I30" s="17">
        <v>20</v>
      </c>
      <c r="J30" s="17">
        <v>15</v>
      </c>
      <c r="K30" s="17">
        <f t="shared" si="3"/>
        <v>35</v>
      </c>
      <c r="L30" s="17">
        <f t="shared" si="4"/>
        <v>68.777777777777771</v>
      </c>
    </row>
    <row r="31" spans="2:12" s="20" customFormat="1" ht="23.1" customHeight="1">
      <c r="B31" s="19">
        <v>23</v>
      </c>
      <c r="C31" s="14" t="s">
        <v>263</v>
      </c>
      <c r="D31" s="15">
        <v>6803231</v>
      </c>
      <c r="E31" s="16">
        <v>15</v>
      </c>
      <c r="F31" s="16">
        <v>15</v>
      </c>
      <c r="G31" s="16">
        <v>15</v>
      </c>
      <c r="H31" s="17">
        <f t="shared" si="2"/>
        <v>40</v>
      </c>
      <c r="I31" s="17">
        <v>15</v>
      </c>
      <c r="J31" s="17">
        <v>17</v>
      </c>
      <c r="K31" s="17">
        <f t="shared" si="3"/>
        <v>32</v>
      </c>
      <c r="L31" s="17">
        <f t="shared" si="4"/>
        <v>72</v>
      </c>
    </row>
    <row r="32" spans="2:12" s="20" customFormat="1" ht="23.1" customHeight="1">
      <c r="B32" s="19">
        <v>24</v>
      </c>
      <c r="C32" s="14" t="s">
        <v>271</v>
      </c>
      <c r="D32" s="15">
        <v>5782387</v>
      </c>
      <c r="E32" s="16">
        <v>15</v>
      </c>
      <c r="F32" s="16">
        <v>14</v>
      </c>
      <c r="G32" s="16">
        <v>14</v>
      </c>
      <c r="H32" s="17">
        <f t="shared" si="2"/>
        <v>38.222222222222221</v>
      </c>
      <c r="I32" s="17">
        <v>17</v>
      </c>
      <c r="J32" s="17">
        <v>15</v>
      </c>
      <c r="K32" s="17">
        <f t="shared" si="3"/>
        <v>32</v>
      </c>
      <c r="L32" s="17">
        <f t="shared" si="4"/>
        <v>70.222222222222229</v>
      </c>
    </row>
    <row r="33" spans="2:12" s="20" customFormat="1" ht="23.1" customHeight="1">
      <c r="B33" s="19">
        <v>25</v>
      </c>
      <c r="C33" s="14" t="s">
        <v>280</v>
      </c>
      <c r="D33" s="15">
        <v>5444118</v>
      </c>
      <c r="E33" s="16">
        <v>15</v>
      </c>
      <c r="F33" s="16">
        <v>15</v>
      </c>
      <c r="G33" s="16">
        <v>15</v>
      </c>
      <c r="H33" s="17">
        <f t="shared" si="2"/>
        <v>40</v>
      </c>
      <c r="I33" s="17">
        <v>12</v>
      </c>
      <c r="J33" s="17">
        <v>15</v>
      </c>
      <c r="K33" s="17">
        <f t="shared" si="3"/>
        <v>27</v>
      </c>
      <c r="L33" s="17">
        <f t="shared" si="4"/>
        <v>67</v>
      </c>
    </row>
    <row r="34" spans="2:12" s="20" customFormat="1" ht="23.1" customHeight="1">
      <c r="B34" s="19">
        <v>26</v>
      </c>
      <c r="C34" s="14" t="s">
        <v>278</v>
      </c>
      <c r="D34" s="15">
        <v>5931741</v>
      </c>
      <c r="E34" s="16">
        <v>12</v>
      </c>
      <c r="F34" s="16">
        <v>10</v>
      </c>
      <c r="G34" s="16">
        <v>12</v>
      </c>
      <c r="H34" s="17">
        <f t="shared" si="2"/>
        <v>30.222222222222225</v>
      </c>
      <c r="I34" s="17">
        <v>18</v>
      </c>
      <c r="J34" s="17">
        <v>19</v>
      </c>
      <c r="K34" s="17">
        <f t="shared" si="3"/>
        <v>37</v>
      </c>
      <c r="L34" s="17">
        <f t="shared" si="4"/>
        <v>67.222222222222229</v>
      </c>
    </row>
    <row r="35" spans="2:12" s="20" customFormat="1" ht="23.1" customHeight="1">
      <c r="B35" s="19">
        <v>27</v>
      </c>
      <c r="C35" s="14" t="s">
        <v>267</v>
      </c>
      <c r="D35" s="15">
        <v>5446491</v>
      </c>
      <c r="E35" s="16">
        <v>12</v>
      </c>
      <c r="F35" s="16">
        <v>14</v>
      </c>
      <c r="G35" s="16">
        <v>14</v>
      </c>
      <c r="H35" s="17">
        <f t="shared" si="2"/>
        <v>35.555555555555557</v>
      </c>
      <c r="I35" s="17">
        <v>19</v>
      </c>
      <c r="J35" s="17">
        <v>16</v>
      </c>
      <c r="K35" s="17">
        <f t="shared" si="3"/>
        <v>35</v>
      </c>
      <c r="L35" s="17">
        <f t="shared" si="4"/>
        <v>70.555555555555557</v>
      </c>
    </row>
    <row r="36" spans="2:12" s="20" customFormat="1" ht="23.1" customHeight="1">
      <c r="B36" s="19">
        <v>28</v>
      </c>
      <c r="C36" s="14" t="s">
        <v>282</v>
      </c>
      <c r="D36" s="15">
        <v>6109115</v>
      </c>
      <c r="E36" s="16">
        <v>13</v>
      </c>
      <c r="F36" s="16">
        <v>12</v>
      </c>
      <c r="G36" s="16">
        <v>15</v>
      </c>
      <c r="H36" s="17">
        <f t="shared" si="2"/>
        <v>35.555555555555557</v>
      </c>
      <c r="I36" s="17">
        <v>15</v>
      </c>
      <c r="J36" s="17">
        <v>16</v>
      </c>
      <c r="K36" s="17">
        <f t="shared" si="3"/>
        <v>31</v>
      </c>
      <c r="L36" s="17">
        <f t="shared" si="4"/>
        <v>66.555555555555557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2.7109375" customWidth="1"/>
    <col min="2" max="2" width="3.5703125" bestFit="1" customWidth="1"/>
    <col min="3" max="3" width="41.42578125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28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45" t="s">
        <v>2</v>
      </c>
      <c r="C6" s="45" t="s">
        <v>3</v>
      </c>
      <c r="D6" s="47" t="s">
        <v>4</v>
      </c>
      <c r="E6" s="49" t="s">
        <v>5</v>
      </c>
      <c r="F6" s="50"/>
      <c r="G6" s="51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46"/>
      <c r="C7" s="46"/>
      <c r="D7" s="48"/>
      <c r="E7" s="6" t="s">
        <v>10</v>
      </c>
      <c r="F7" s="6" t="s">
        <v>11</v>
      </c>
      <c r="G7" s="6" t="s">
        <v>12</v>
      </c>
      <c r="H7" s="29"/>
      <c r="I7" s="5" t="s">
        <v>13</v>
      </c>
      <c r="J7" s="5" t="s">
        <v>14</v>
      </c>
      <c r="K7" s="29"/>
      <c r="L7" s="29"/>
    </row>
    <row r="8" spans="2:12">
      <c r="B8" s="30" t="s">
        <v>20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20" customFormat="1" ht="23.1" customHeight="1">
      <c r="B9" s="19">
        <v>1</v>
      </c>
      <c r="C9" s="14" t="s">
        <v>303</v>
      </c>
      <c r="D9" s="15">
        <v>5171642</v>
      </c>
      <c r="E9" s="16">
        <v>11</v>
      </c>
      <c r="F9" s="16">
        <v>10</v>
      </c>
      <c r="G9" s="16">
        <v>10</v>
      </c>
      <c r="H9" s="17">
        <f t="shared" ref="H9:H36" si="2">SUM(E9:G9)*100/45*0.4</f>
        <v>27.555555555555557</v>
      </c>
      <c r="I9" s="17">
        <v>17</v>
      </c>
      <c r="J9" s="17">
        <v>17</v>
      </c>
      <c r="K9" s="17">
        <f t="shared" ref="K9:K36" si="3">SUM(I9:J9)</f>
        <v>34</v>
      </c>
      <c r="L9" s="17">
        <f t="shared" ref="L9:L36" si="4">H9+K9</f>
        <v>61.555555555555557</v>
      </c>
    </row>
    <row r="10" spans="2:12" s="20" customFormat="1" ht="23.1" customHeight="1">
      <c r="B10" s="19">
        <v>2</v>
      </c>
      <c r="C10" s="14" t="s">
        <v>292</v>
      </c>
      <c r="D10" s="15">
        <v>5434296</v>
      </c>
      <c r="E10" s="16">
        <v>12</v>
      </c>
      <c r="F10" s="16">
        <v>13</v>
      </c>
      <c r="G10" s="16">
        <v>15</v>
      </c>
      <c r="H10" s="17">
        <f t="shared" si="2"/>
        <v>35.555555555555557</v>
      </c>
      <c r="I10" s="17">
        <v>15</v>
      </c>
      <c r="J10" s="17">
        <v>14</v>
      </c>
      <c r="K10" s="17">
        <f t="shared" si="3"/>
        <v>29</v>
      </c>
      <c r="L10" s="17">
        <f t="shared" si="4"/>
        <v>64.555555555555557</v>
      </c>
    </row>
    <row r="11" spans="2:12" s="20" customFormat="1" ht="23.1" customHeight="1">
      <c r="B11" s="19">
        <v>3</v>
      </c>
      <c r="C11" s="14" t="s">
        <v>296</v>
      </c>
      <c r="D11" s="15">
        <v>5612281</v>
      </c>
      <c r="E11" s="16">
        <v>11</v>
      </c>
      <c r="F11" s="16">
        <v>10</v>
      </c>
      <c r="G11" s="16">
        <v>15</v>
      </c>
      <c r="H11" s="17">
        <f t="shared" si="2"/>
        <v>32</v>
      </c>
      <c r="I11" s="17">
        <v>17</v>
      </c>
      <c r="J11" s="17">
        <v>15</v>
      </c>
      <c r="K11" s="17">
        <f t="shared" si="3"/>
        <v>32</v>
      </c>
      <c r="L11" s="17">
        <f t="shared" si="4"/>
        <v>64</v>
      </c>
    </row>
    <row r="12" spans="2:12" s="20" customFormat="1" ht="23.1" customHeight="1">
      <c r="B12" s="19">
        <v>4</v>
      </c>
      <c r="C12" s="14" t="s">
        <v>310</v>
      </c>
      <c r="D12" s="15">
        <v>5681381</v>
      </c>
      <c r="E12" s="16">
        <v>12</v>
      </c>
      <c r="F12" s="16">
        <v>15</v>
      </c>
      <c r="G12" s="16">
        <v>15</v>
      </c>
      <c r="H12" s="17">
        <f t="shared" si="2"/>
        <v>37.333333333333336</v>
      </c>
      <c r="I12" s="17">
        <v>13</v>
      </c>
      <c r="J12" s="17">
        <v>9</v>
      </c>
      <c r="K12" s="17">
        <f t="shared" si="3"/>
        <v>22</v>
      </c>
      <c r="L12" s="17">
        <f t="shared" si="4"/>
        <v>59.333333333333336</v>
      </c>
    </row>
    <row r="13" spans="2:12" s="20" customFormat="1" ht="23.1" customHeight="1">
      <c r="B13" s="19">
        <v>5</v>
      </c>
      <c r="C13" s="14" t="s">
        <v>297</v>
      </c>
      <c r="D13" s="15">
        <v>6004658</v>
      </c>
      <c r="E13" s="16">
        <v>15</v>
      </c>
      <c r="F13" s="16">
        <v>15</v>
      </c>
      <c r="G13" s="16">
        <v>15</v>
      </c>
      <c r="H13" s="17">
        <f t="shared" si="2"/>
        <v>40</v>
      </c>
      <c r="I13" s="17">
        <v>10</v>
      </c>
      <c r="J13" s="17">
        <v>14</v>
      </c>
      <c r="K13" s="17">
        <f t="shared" si="3"/>
        <v>24</v>
      </c>
      <c r="L13" s="17">
        <f t="shared" si="4"/>
        <v>64</v>
      </c>
    </row>
    <row r="14" spans="2:12" s="20" customFormat="1" ht="23.1" customHeight="1">
      <c r="B14" s="19">
        <v>6</v>
      </c>
      <c r="C14" s="14" t="s">
        <v>301</v>
      </c>
      <c r="D14" s="15">
        <v>5712837</v>
      </c>
      <c r="E14" s="16">
        <v>10</v>
      </c>
      <c r="F14" s="16">
        <v>10</v>
      </c>
      <c r="G14" s="16">
        <v>12</v>
      </c>
      <c r="H14" s="17">
        <f t="shared" si="2"/>
        <v>28.444444444444446</v>
      </c>
      <c r="I14" s="17">
        <v>18</v>
      </c>
      <c r="J14" s="17">
        <v>16</v>
      </c>
      <c r="K14" s="17">
        <f t="shared" si="3"/>
        <v>34</v>
      </c>
      <c r="L14" s="17">
        <f t="shared" si="4"/>
        <v>62.444444444444443</v>
      </c>
    </row>
    <row r="15" spans="2:12" s="20" customFormat="1" ht="23.1" customHeight="1">
      <c r="B15" s="19">
        <v>7</v>
      </c>
      <c r="C15" s="14" t="s">
        <v>307</v>
      </c>
      <c r="D15" s="15">
        <v>45322370</v>
      </c>
      <c r="E15" s="16">
        <v>8</v>
      </c>
      <c r="F15" s="16">
        <v>11</v>
      </c>
      <c r="G15" s="16">
        <v>14</v>
      </c>
      <c r="H15" s="17">
        <f t="shared" si="2"/>
        <v>29.333333333333332</v>
      </c>
      <c r="I15" s="17">
        <v>15</v>
      </c>
      <c r="J15" s="17">
        <v>16</v>
      </c>
      <c r="K15" s="17">
        <f t="shared" si="3"/>
        <v>31</v>
      </c>
      <c r="L15" s="17">
        <f t="shared" si="4"/>
        <v>60.333333333333329</v>
      </c>
    </row>
    <row r="16" spans="2:12" s="20" customFormat="1" ht="23.1" customHeight="1">
      <c r="B16" s="19">
        <v>8</v>
      </c>
      <c r="C16" s="14" t="s">
        <v>300</v>
      </c>
      <c r="D16" s="15">
        <v>5377448</v>
      </c>
      <c r="E16" s="16">
        <v>13</v>
      </c>
      <c r="F16" s="16">
        <v>12</v>
      </c>
      <c r="G16" s="16">
        <v>15</v>
      </c>
      <c r="H16" s="17">
        <f t="shared" si="2"/>
        <v>35.555555555555557</v>
      </c>
      <c r="I16" s="17">
        <v>13</v>
      </c>
      <c r="J16" s="17">
        <v>14</v>
      </c>
      <c r="K16" s="17">
        <f t="shared" si="3"/>
        <v>27</v>
      </c>
      <c r="L16" s="17">
        <f t="shared" si="4"/>
        <v>62.555555555555557</v>
      </c>
    </row>
    <row r="17" spans="2:12" s="20" customFormat="1" ht="23.1" customHeight="1">
      <c r="B17" s="19">
        <v>9</v>
      </c>
      <c r="C17" s="14" t="s">
        <v>305</v>
      </c>
      <c r="D17" s="15">
        <v>5379896</v>
      </c>
      <c r="E17" s="16">
        <v>12</v>
      </c>
      <c r="F17" s="16">
        <v>11</v>
      </c>
      <c r="G17" s="16">
        <v>12</v>
      </c>
      <c r="H17" s="17">
        <f t="shared" si="2"/>
        <v>31.111111111111111</v>
      </c>
      <c r="I17" s="17">
        <v>14</v>
      </c>
      <c r="J17" s="17">
        <v>16</v>
      </c>
      <c r="K17" s="17">
        <f t="shared" si="3"/>
        <v>30</v>
      </c>
      <c r="L17" s="17">
        <f t="shared" si="4"/>
        <v>61.111111111111114</v>
      </c>
    </row>
    <row r="18" spans="2:12" s="20" customFormat="1" ht="23.1" customHeight="1">
      <c r="B18" s="19">
        <v>10</v>
      </c>
      <c r="C18" s="14" t="s">
        <v>304</v>
      </c>
      <c r="D18" s="15">
        <v>6102591</v>
      </c>
      <c r="E18" s="16">
        <v>11</v>
      </c>
      <c r="F18" s="16">
        <v>10</v>
      </c>
      <c r="G18" s="16">
        <v>11</v>
      </c>
      <c r="H18" s="17">
        <f t="shared" si="2"/>
        <v>28.444444444444446</v>
      </c>
      <c r="I18" s="17">
        <v>16</v>
      </c>
      <c r="J18" s="17">
        <v>17</v>
      </c>
      <c r="K18" s="17">
        <f t="shared" si="3"/>
        <v>33</v>
      </c>
      <c r="L18" s="17">
        <f t="shared" si="4"/>
        <v>61.444444444444443</v>
      </c>
    </row>
    <row r="19" spans="2:12" s="20" customFormat="1" ht="23.1" customHeight="1">
      <c r="B19" s="19">
        <v>11</v>
      </c>
      <c r="C19" s="14" t="s">
        <v>291</v>
      </c>
      <c r="D19" s="15">
        <v>5311153</v>
      </c>
      <c r="E19" s="16">
        <v>12</v>
      </c>
      <c r="F19" s="16">
        <v>12</v>
      </c>
      <c r="G19" s="16">
        <v>13</v>
      </c>
      <c r="H19" s="17">
        <f t="shared" si="2"/>
        <v>32.888888888888893</v>
      </c>
      <c r="I19" s="17">
        <v>14</v>
      </c>
      <c r="J19" s="17">
        <v>18</v>
      </c>
      <c r="K19" s="17">
        <f t="shared" si="3"/>
        <v>32</v>
      </c>
      <c r="L19" s="17">
        <f t="shared" si="4"/>
        <v>64.888888888888886</v>
      </c>
    </row>
    <row r="20" spans="2:12" s="20" customFormat="1" ht="23.1" customHeight="1">
      <c r="B20" s="19">
        <v>12</v>
      </c>
      <c r="C20" s="14" t="s">
        <v>309</v>
      </c>
      <c r="D20" s="15">
        <v>5419232</v>
      </c>
      <c r="E20" s="16">
        <v>10</v>
      </c>
      <c r="F20" s="16">
        <v>10</v>
      </c>
      <c r="G20" s="16">
        <v>12</v>
      </c>
      <c r="H20" s="17">
        <f t="shared" si="2"/>
        <v>28.444444444444446</v>
      </c>
      <c r="I20" s="17">
        <v>12</v>
      </c>
      <c r="J20" s="17">
        <v>19</v>
      </c>
      <c r="K20" s="17">
        <f t="shared" si="3"/>
        <v>31</v>
      </c>
      <c r="L20" s="17">
        <f t="shared" si="4"/>
        <v>59.444444444444443</v>
      </c>
    </row>
    <row r="21" spans="2:12" s="20" customFormat="1" ht="23.1" customHeight="1">
      <c r="B21" s="19">
        <v>13</v>
      </c>
      <c r="C21" s="14" t="s">
        <v>298</v>
      </c>
      <c r="D21" s="15">
        <v>6053570</v>
      </c>
      <c r="E21" s="16">
        <v>12</v>
      </c>
      <c r="F21" s="16">
        <v>14</v>
      </c>
      <c r="G21" s="16">
        <v>14</v>
      </c>
      <c r="H21" s="17">
        <f t="shared" si="2"/>
        <v>35.555555555555557</v>
      </c>
      <c r="I21" s="17">
        <v>12</v>
      </c>
      <c r="J21" s="17">
        <v>16</v>
      </c>
      <c r="K21" s="17">
        <f t="shared" si="3"/>
        <v>28</v>
      </c>
      <c r="L21" s="17">
        <f t="shared" si="4"/>
        <v>63.555555555555557</v>
      </c>
    </row>
    <row r="22" spans="2:12" s="20" customFormat="1" ht="23.1" customHeight="1">
      <c r="B22" s="19">
        <v>14</v>
      </c>
      <c r="C22" s="14" t="s">
        <v>294</v>
      </c>
      <c r="D22" s="15">
        <v>5286618</v>
      </c>
      <c r="E22" s="16">
        <v>14</v>
      </c>
      <c r="F22" s="16">
        <v>13</v>
      </c>
      <c r="G22" s="16">
        <v>15</v>
      </c>
      <c r="H22" s="17">
        <f t="shared" si="2"/>
        <v>37.333333333333336</v>
      </c>
      <c r="I22" s="17">
        <v>11</v>
      </c>
      <c r="J22" s="17">
        <v>16</v>
      </c>
      <c r="K22" s="17">
        <f t="shared" si="3"/>
        <v>27</v>
      </c>
      <c r="L22" s="17">
        <f t="shared" si="4"/>
        <v>64.333333333333343</v>
      </c>
    </row>
    <row r="23" spans="2:12" s="20" customFormat="1" ht="23.1" customHeight="1">
      <c r="B23" s="19">
        <v>15</v>
      </c>
      <c r="C23" s="14" t="s">
        <v>293</v>
      </c>
      <c r="D23" s="15">
        <v>6129378</v>
      </c>
      <c r="E23" s="16">
        <v>8</v>
      </c>
      <c r="F23" s="16">
        <v>10</v>
      </c>
      <c r="G23" s="16">
        <v>14</v>
      </c>
      <c r="H23" s="17">
        <f t="shared" si="2"/>
        <v>28.444444444444446</v>
      </c>
      <c r="I23" s="17">
        <v>17</v>
      </c>
      <c r="J23" s="17">
        <v>19</v>
      </c>
      <c r="K23" s="17">
        <f t="shared" si="3"/>
        <v>36</v>
      </c>
      <c r="L23" s="17">
        <f t="shared" si="4"/>
        <v>64.444444444444443</v>
      </c>
    </row>
    <row r="24" spans="2:12" s="20" customFormat="1" ht="23.1" customHeight="1">
      <c r="B24" s="19">
        <v>16</v>
      </c>
      <c r="C24" s="14" t="s">
        <v>289</v>
      </c>
      <c r="D24" s="15">
        <v>5813956</v>
      </c>
      <c r="E24" s="16">
        <v>14</v>
      </c>
      <c r="F24" s="16">
        <v>15</v>
      </c>
      <c r="G24" s="16">
        <v>14</v>
      </c>
      <c r="H24" s="17">
        <f t="shared" si="2"/>
        <v>38.222222222222221</v>
      </c>
      <c r="I24" s="17">
        <v>9</v>
      </c>
      <c r="J24" s="17">
        <v>18</v>
      </c>
      <c r="K24" s="17">
        <f t="shared" si="3"/>
        <v>27</v>
      </c>
      <c r="L24" s="17">
        <f t="shared" si="4"/>
        <v>65.222222222222229</v>
      </c>
    </row>
    <row r="25" spans="2:12" s="20" customFormat="1" ht="23.1" customHeight="1">
      <c r="B25" s="19">
        <v>17</v>
      </c>
      <c r="C25" s="14" t="s">
        <v>286</v>
      </c>
      <c r="D25" s="15">
        <v>5789012</v>
      </c>
      <c r="E25" s="16">
        <v>14</v>
      </c>
      <c r="F25" s="16">
        <v>11</v>
      </c>
      <c r="G25" s="16">
        <v>12</v>
      </c>
      <c r="H25" s="17">
        <f t="shared" si="2"/>
        <v>32.888888888888893</v>
      </c>
      <c r="I25" s="17">
        <v>15</v>
      </c>
      <c r="J25" s="17">
        <v>18</v>
      </c>
      <c r="K25" s="17">
        <f t="shared" si="3"/>
        <v>33</v>
      </c>
      <c r="L25" s="17">
        <f t="shared" si="4"/>
        <v>65.888888888888886</v>
      </c>
    </row>
    <row r="26" spans="2:12" s="20" customFormat="1" ht="23.1" customHeight="1">
      <c r="B26" s="19">
        <v>18</v>
      </c>
      <c r="C26" s="14" t="s">
        <v>311</v>
      </c>
      <c r="D26" s="15">
        <v>5934395</v>
      </c>
      <c r="E26" s="16">
        <v>9</v>
      </c>
      <c r="F26" s="16">
        <v>9</v>
      </c>
      <c r="G26" s="16">
        <v>11</v>
      </c>
      <c r="H26" s="17">
        <f t="shared" si="2"/>
        <v>25.777777777777779</v>
      </c>
      <c r="I26" s="17">
        <v>16</v>
      </c>
      <c r="J26" s="17">
        <v>17</v>
      </c>
      <c r="K26" s="17">
        <f t="shared" si="3"/>
        <v>33</v>
      </c>
      <c r="L26" s="17">
        <f t="shared" si="4"/>
        <v>58.777777777777779</v>
      </c>
    </row>
    <row r="27" spans="2:12" s="20" customFormat="1" ht="23.1" customHeight="1">
      <c r="B27" s="19">
        <v>19</v>
      </c>
      <c r="C27" s="14" t="s">
        <v>295</v>
      </c>
      <c r="D27" s="15">
        <v>6338040</v>
      </c>
      <c r="E27" s="16">
        <v>11</v>
      </c>
      <c r="F27" s="16">
        <v>11</v>
      </c>
      <c r="G27" s="16">
        <v>13</v>
      </c>
      <c r="H27" s="17">
        <f t="shared" si="2"/>
        <v>31.111111111111111</v>
      </c>
      <c r="I27" s="17">
        <v>14</v>
      </c>
      <c r="J27" s="17">
        <v>19</v>
      </c>
      <c r="K27" s="17">
        <f t="shared" si="3"/>
        <v>33</v>
      </c>
      <c r="L27" s="17">
        <f t="shared" si="4"/>
        <v>64.111111111111114</v>
      </c>
    </row>
    <row r="28" spans="2:12" s="20" customFormat="1" ht="23.1" customHeight="1">
      <c r="B28" s="19">
        <v>20</v>
      </c>
      <c r="C28" s="14" t="s">
        <v>299</v>
      </c>
      <c r="D28" s="15">
        <v>6978805</v>
      </c>
      <c r="E28" s="16">
        <v>12</v>
      </c>
      <c r="F28" s="16">
        <v>13</v>
      </c>
      <c r="G28" s="16">
        <v>14</v>
      </c>
      <c r="H28" s="17">
        <f t="shared" si="2"/>
        <v>34.666666666666671</v>
      </c>
      <c r="I28" s="17">
        <v>13</v>
      </c>
      <c r="J28" s="17">
        <v>15</v>
      </c>
      <c r="K28" s="17">
        <f t="shared" si="3"/>
        <v>28</v>
      </c>
      <c r="L28" s="17">
        <f t="shared" si="4"/>
        <v>62.666666666666671</v>
      </c>
    </row>
    <row r="29" spans="2:12" s="20" customFormat="1" ht="23.1" customHeight="1">
      <c r="B29" s="19">
        <v>21</v>
      </c>
      <c r="C29" s="14" t="s">
        <v>290</v>
      </c>
      <c r="D29" s="15">
        <v>5687358</v>
      </c>
      <c r="E29" s="16">
        <v>14</v>
      </c>
      <c r="F29" s="16">
        <v>15</v>
      </c>
      <c r="G29" s="16">
        <v>14</v>
      </c>
      <c r="H29" s="17">
        <f t="shared" si="2"/>
        <v>38.222222222222221</v>
      </c>
      <c r="I29" s="17">
        <v>11</v>
      </c>
      <c r="J29" s="17">
        <v>16</v>
      </c>
      <c r="K29" s="17">
        <f t="shared" si="3"/>
        <v>27</v>
      </c>
      <c r="L29" s="17">
        <f t="shared" si="4"/>
        <v>65.222222222222229</v>
      </c>
    </row>
    <row r="30" spans="2:12" s="20" customFormat="1" ht="23.1" customHeight="1">
      <c r="B30" s="19">
        <v>22</v>
      </c>
      <c r="C30" s="14" t="s">
        <v>302</v>
      </c>
      <c r="D30" s="15">
        <v>5388064</v>
      </c>
      <c r="E30" s="16">
        <v>13</v>
      </c>
      <c r="F30" s="16">
        <v>13</v>
      </c>
      <c r="G30" s="16">
        <v>10</v>
      </c>
      <c r="H30" s="17">
        <f t="shared" si="2"/>
        <v>32</v>
      </c>
      <c r="I30" s="17">
        <v>15</v>
      </c>
      <c r="J30" s="17">
        <v>15</v>
      </c>
      <c r="K30" s="17">
        <f t="shared" si="3"/>
        <v>30</v>
      </c>
      <c r="L30" s="17">
        <f t="shared" si="4"/>
        <v>62</v>
      </c>
    </row>
    <row r="31" spans="2:12" s="20" customFormat="1" ht="23.1" customHeight="1">
      <c r="B31" s="19">
        <v>23</v>
      </c>
      <c r="C31" s="14" t="s">
        <v>308</v>
      </c>
      <c r="D31" s="15">
        <v>5297795</v>
      </c>
      <c r="E31" s="16">
        <v>13</v>
      </c>
      <c r="F31" s="16">
        <v>13</v>
      </c>
      <c r="G31" s="16">
        <v>13</v>
      </c>
      <c r="H31" s="17">
        <f t="shared" si="2"/>
        <v>34.666666666666671</v>
      </c>
      <c r="I31" s="17">
        <v>8</v>
      </c>
      <c r="J31" s="17">
        <v>17</v>
      </c>
      <c r="K31" s="17">
        <f t="shared" si="3"/>
        <v>25</v>
      </c>
      <c r="L31" s="17">
        <f t="shared" si="4"/>
        <v>59.666666666666671</v>
      </c>
    </row>
    <row r="32" spans="2:12" s="20" customFormat="1" ht="23.1" customHeight="1">
      <c r="B32" s="19">
        <v>24</v>
      </c>
      <c r="C32" s="14" t="s">
        <v>312</v>
      </c>
      <c r="D32" s="15">
        <v>5689726</v>
      </c>
      <c r="E32" s="16">
        <v>11</v>
      </c>
      <c r="F32" s="16">
        <v>9</v>
      </c>
      <c r="G32" s="16">
        <v>10</v>
      </c>
      <c r="H32" s="17">
        <f t="shared" si="2"/>
        <v>26.666666666666671</v>
      </c>
      <c r="I32" s="17">
        <v>17</v>
      </c>
      <c r="J32" s="17">
        <v>15</v>
      </c>
      <c r="K32" s="17">
        <f t="shared" si="3"/>
        <v>32</v>
      </c>
      <c r="L32" s="17">
        <f t="shared" si="4"/>
        <v>58.666666666666671</v>
      </c>
    </row>
    <row r="33" spans="2:12" s="20" customFormat="1" ht="23.1" customHeight="1">
      <c r="B33" s="19">
        <v>25</v>
      </c>
      <c r="C33" s="14" t="s">
        <v>285</v>
      </c>
      <c r="D33" s="15">
        <v>5419088</v>
      </c>
      <c r="E33" s="16">
        <v>15</v>
      </c>
      <c r="F33" s="16">
        <v>15</v>
      </c>
      <c r="G33" s="16">
        <v>15</v>
      </c>
      <c r="H33" s="17">
        <f t="shared" si="2"/>
        <v>40</v>
      </c>
      <c r="I33" s="17">
        <v>11</v>
      </c>
      <c r="J33" s="17">
        <v>15</v>
      </c>
      <c r="K33" s="17">
        <f t="shared" si="3"/>
        <v>26</v>
      </c>
      <c r="L33" s="17">
        <f t="shared" si="4"/>
        <v>66</v>
      </c>
    </row>
    <row r="34" spans="2:12" s="20" customFormat="1" ht="23.1" customHeight="1">
      <c r="B34" s="19">
        <v>26</v>
      </c>
      <c r="C34" s="14" t="s">
        <v>287</v>
      </c>
      <c r="D34" s="15">
        <v>5650110</v>
      </c>
      <c r="E34" s="16">
        <v>12</v>
      </c>
      <c r="F34" s="16">
        <v>12</v>
      </c>
      <c r="G34" s="16">
        <v>13</v>
      </c>
      <c r="H34" s="17">
        <f t="shared" si="2"/>
        <v>32.888888888888893</v>
      </c>
      <c r="I34" s="17">
        <v>13</v>
      </c>
      <c r="J34" s="17">
        <v>20</v>
      </c>
      <c r="K34" s="17">
        <f t="shared" si="3"/>
        <v>33</v>
      </c>
      <c r="L34" s="17">
        <f t="shared" si="4"/>
        <v>65.888888888888886</v>
      </c>
    </row>
    <row r="35" spans="2:12" s="20" customFormat="1" ht="23.1" customHeight="1">
      <c r="B35" s="19">
        <v>27</v>
      </c>
      <c r="C35" s="14" t="s">
        <v>288</v>
      </c>
      <c r="D35" s="15">
        <v>6141147</v>
      </c>
      <c r="E35" s="16">
        <v>7</v>
      </c>
      <c r="F35" s="16">
        <v>12</v>
      </c>
      <c r="G35" s="16">
        <v>13</v>
      </c>
      <c r="H35" s="17">
        <f t="shared" si="2"/>
        <v>28.444444444444446</v>
      </c>
      <c r="I35" s="17">
        <v>17</v>
      </c>
      <c r="J35" s="17">
        <v>20</v>
      </c>
      <c r="K35" s="17">
        <f t="shared" si="3"/>
        <v>37</v>
      </c>
      <c r="L35" s="17">
        <f t="shared" si="4"/>
        <v>65.444444444444443</v>
      </c>
    </row>
    <row r="36" spans="2:12" s="20" customFormat="1" ht="23.1" customHeight="1">
      <c r="B36" s="19">
        <v>28</v>
      </c>
      <c r="C36" s="14" t="s">
        <v>306</v>
      </c>
      <c r="D36" s="15">
        <v>6259668</v>
      </c>
      <c r="E36" s="16">
        <v>9</v>
      </c>
      <c r="F36" s="16">
        <v>13</v>
      </c>
      <c r="G36" s="16">
        <v>13</v>
      </c>
      <c r="H36" s="17">
        <f t="shared" si="2"/>
        <v>31.111111111111111</v>
      </c>
      <c r="I36" s="17">
        <v>16</v>
      </c>
      <c r="J36" s="17">
        <v>14</v>
      </c>
      <c r="K36" s="17">
        <f t="shared" si="3"/>
        <v>30</v>
      </c>
      <c r="L36" s="17">
        <f t="shared" si="4"/>
        <v>61.111111111111114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8"/>
  <sheetViews>
    <sheetView workbookViewId="0">
      <selection activeCell="B1" sqref="B1:L1"/>
    </sheetView>
  </sheetViews>
  <sheetFormatPr baseColWidth="10" defaultRowHeight="15"/>
  <cols>
    <col min="1" max="1" width="2.140625" customWidth="1"/>
    <col min="2" max="2" width="3.5703125" bestFit="1" customWidth="1"/>
    <col min="3" max="3" width="42.42578125" customWidth="1"/>
    <col min="4" max="4" width="10" bestFit="1" customWidth="1"/>
    <col min="5" max="7" width="5.7109375" customWidth="1"/>
    <col min="8" max="8" width="7.7109375" customWidth="1"/>
    <col min="9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53" t="s">
        <v>32</v>
      </c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2:12" ht="15.75">
      <c r="B5" s="35" t="s">
        <v>22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26" t="s">
        <v>7</v>
      </c>
      <c r="J6" s="27"/>
      <c r="K6" s="28" t="s">
        <v>8</v>
      </c>
      <c r="L6" s="52" t="s">
        <v>9</v>
      </c>
    </row>
    <row r="7" spans="2:12" ht="30" customHeight="1">
      <c r="B7" s="36"/>
      <c r="C7" s="36"/>
      <c r="D7" s="37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52"/>
    </row>
    <row r="8" spans="2:12">
      <c r="B8" s="30" t="s">
        <v>15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3">
        <v>1</v>
      </c>
      <c r="C9" s="14" t="s">
        <v>317</v>
      </c>
      <c r="D9" s="15">
        <v>5280985</v>
      </c>
      <c r="E9" s="16">
        <v>15</v>
      </c>
      <c r="F9" s="16">
        <v>15</v>
      </c>
      <c r="G9" s="16">
        <v>15</v>
      </c>
      <c r="H9" s="17">
        <f t="shared" ref="H9:H36" si="2">SUM(E9:G9)*100/45*0.4</f>
        <v>40</v>
      </c>
      <c r="I9" s="17">
        <v>25</v>
      </c>
      <c r="J9" s="17">
        <v>17</v>
      </c>
      <c r="K9" s="17">
        <f t="shared" ref="K9:K36" si="3">SUM(I9:J9)</f>
        <v>42</v>
      </c>
      <c r="L9" s="17">
        <f t="shared" ref="L9:L36" si="4">H9+K9</f>
        <v>82</v>
      </c>
    </row>
    <row r="10" spans="2:12" s="9" customFormat="1" ht="23.1" customHeight="1">
      <c r="B10" s="13">
        <v>2</v>
      </c>
      <c r="C10" s="14" t="s">
        <v>339</v>
      </c>
      <c r="D10" s="15">
        <v>5986275</v>
      </c>
      <c r="E10" s="16">
        <v>8</v>
      </c>
      <c r="F10" s="16">
        <v>15</v>
      </c>
      <c r="G10" s="16">
        <v>14</v>
      </c>
      <c r="H10" s="17">
        <f t="shared" si="2"/>
        <v>32.888888888888893</v>
      </c>
      <c r="I10" s="17">
        <v>19</v>
      </c>
      <c r="J10" s="17">
        <v>21</v>
      </c>
      <c r="K10" s="17">
        <f t="shared" si="3"/>
        <v>40</v>
      </c>
      <c r="L10" s="17">
        <f t="shared" si="4"/>
        <v>72.888888888888886</v>
      </c>
    </row>
    <row r="11" spans="2:12" s="9" customFormat="1" ht="23.1" customHeight="1">
      <c r="B11" s="13">
        <v>3</v>
      </c>
      <c r="C11" s="14" t="s">
        <v>337</v>
      </c>
      <c r="D11" s="15">
        <v>5596347</v>
      </c>
      <c r="E11" s="16">
        <v>14</v>
      </c>
      <c r="F11" s="16">
        <v>15</v>
      </c>
      <c r="G11" s="16">
        <v>15</v>
      </c>
      <c r="H11" s="17">
        <f t="shared" si="2"/>
        <v>39.111111111111114</v>
      </c>
      <c r="I11" s="17">
        <v>17</v>
      </c>
      <c r="J11" s="17">
        <v>17</v>
      </c>
      <c r="K11" s="17">
        <f t="shared" si="3"/>
        <v>34</v>
      </c>
      <c r="L11" s="17">
        <f t="shared" si="4"/>
        <v>73.111111111111114</v>
      </c>
    </row>
    <row r="12" spans="2:12" s="9" customFormat="1" ht="23.1" customHeight="1">
      <c r="B12" s="13">
        <v>4</v>
      </c>
      <c r="C12" s="14" t="s">
        <v>328</v>
      </c>
      <c r="D12" s="15">
        <v>5489014</v>
      </c>
      <c r="E12" s="16">
        <v>14</v>
      </c>
      <c r="F12" s="16">
        <v>14</v>
      </c>
      <c r="G12" s="16">
        <v>15</v>
      </c>
      <c r="H12" s="17">
        <f t="shared" si="2"/>
        <v>38.222222222222221</v>
      </c>
      <c r="I12" s="17">
        <v>19</v>
      </c>
      <c r="J12" s="17">
        <v>19</v>
      </c>
      <c r="K12" s="17">
        <f t="shared" si="3"/>
        <v>38</v>
      </c>
      <c r="L12" s="17">
        <f t="shared" si="4"/>
        <v>76.222222222222229</v>
      </c>
    </row>
    <row r="13" spans="2:12" s="9" customFormat="1" ht="23.1" customHeight="1">
      <c r="B13" s="13">
        <v>5</v>
      </c>
      <c r="C13" s="14" t="s">
        <v>316</v>
      </c>
      <c r="D13" s="15">
        <v>6052255</v>
      </c>
      <c r="E13" s="16">
        <v>15</v>
      </c>
      <c r="F13" s="16">
        <v>15</v>
      </c>
      <c r="G13" s="16">
        <v>15</v>
      </c>
      <c r="H13" s="17">
        <f t="shared" si="2"/>
        <v>40</v>
      </c>
      <c r="I13" s="17">
        <v>21</v>
      </c>
      <c r="J13" s="17">
        <v>22</v>
      </c>
      <c r="K13" s="17">
        <f t="shared" si="3"/>
        <v>43</v>
      </c>
      <c r="L13" s="17">
        <f t="shared" si="4"/>
        <v>83</v>
      </c>
    </row>
    <row r="14" spans="2:12" s="9" customFormat="1" ht="23.1" customHeight="1">
      <c r="B14" s="13">
        <v>6</v>
      </c>
      <c r="C14" s="14" t="s">
        <v>318</v>
      </c>
      <c r="D14" s="15">
        <v>5286241</v>
      </c>
      <c r="E14" s="16">
        <v>15</v>
      </c>
      <c r="F14" s="16">
        <v>15</v>
      </c>
      <c r="G14" s="16">
        <v>15</v>
      </c>
      <c r="H14" s="17">
        <f t="shared" si="2"/>
        <v>40</v>
      </c>
      <c r="I14" s="17">
        <v>22</v>
      </c>
      <c r="J14" s="17">
        <v>19</v>
      </c>
      <c r="K14" s="17">
        <f t="shared" si="3"/>
        <v>41</v>
      </c>
      <c r="L14" s="17">
        <f t="shared" si="4"/>
        <v>81</v>
      </c>
    </row>
    <row r="15" spans="2:12" s="9" customFormat="1" ht="23.1" customHeight="1">
      <c r="B15" s="13">
        <v>7</v>
      </c>
      <c r="C15" s="14" t="s">
        <v>322</v>
      </c>
      <c r="D15" s="15">
        <v>6360050</v>
      </c>
      <c r="E15" s="16">
        <v>14</v>
      </c>
      <c r="F15" s="16">
        <v>15</v>
      </c>
      <c r="G15" s="16">
        <v>15</v>
      </c>
      <c r="H15" s="17">
        <f t="shared" si="2"/>
        <v>39.111111111111114</v>
      </c>
      <c r="I15" s="17">
        <v>16</v>
      </c>
      <c r="J15" s="17">
        <v>23</v>
      </c>
      <c r="K15" s="17">
        <f t="shared" si="3"/>
        <v>39</v>
      </c>
      <c r="L15" s="17">
        <f t="shared" si="4"/>
        <v>78.111111111111114</v>
      </c>
    </row>
    <row r="16" spans="2:12" s="9" customFormat="1" ht="23.1" customHeight="1">
      <c r="B16" s="13">
        <v>8</v>
      </c>
      <c r="C16" s="14" t="s">
        <v>320</v>
      </c>
      <c r="D16" s="15">
        <v>7028300</v>
      </c>
      <c r="E16" s="16">
        <v>15</v>
      </c>
      <c r="F16" s="16">
        <v>15</v>
      </c>
      <c r="G16" s="16">
        <v>14</v>
      </c>
      <c r="H16" s="17">
        <f t="shared" si="2"/>
        <v>39.111111111111114</v>
      </c>
      <c r="I16" s="17">
        <v>20</v>
      </c>
      <c r="J16" s="17">
        <v>21</v>
      </c>
      <c r="K16" s="17">
        <f t="shared" si="3"/>
        <v>41</v>
      </c>
      <c r="L16" s="17">
        <f t="shared" si="4"/>
        <v>80.111111111111114</v>
      </c>
    </row>
    <row r="17" spans="2:12" s="9" customFormat="1" ht="23.1" customHeight="1">
      <c r="B17" s="13">
        <v>9</v>
      </c>
      <c r="C17" s="14" t="s">
        <v>336</v>
      </c>
      <c r="D17" s="15">
        <v>5937339</v>
      </c>
      <c r="E17" s="16">
        <v>15</v>
      </c>
      <c r="F17" s="16">
        <v>14</v>
      </c>
      <c r="G17" s="16">
        <v>14</v>
      </c>
      <c r="H17" s="17">
        <f t="shared" si="2"/>
        <v>38.222222222222221</v>
      </c>
      <c r="I17" s="17">
        <v>18</v>
      </c>
      <c r="J17" s="17">
        <v>17</v>
      </c>
      <c r="K17" s="17">
        <f t="shared" si="3"/>
        <v>35</v>
      </c>
      <c r="L17" s="17">
        <f t="shared" si="4"/>
        <v>73.222222222222229</v>
      </c>
    </row>
    <row r="18" spans="2:12" s="9" customFormat="1" ht="23.1" customHeight="1">
      <c r="B18" s="13">
        <v>10</v>
      </c>
      <c r="C18" s="14" t="s">
        <v>321</v>
      </c>
      <c r="D18" s="15">
        <v>5497985</v>
      </c>
      <c r="E18" s="16">
        <v>13</v>
      </c>
      <c r="F18" s="16">
        <v>15</v>
      </c>
      <c r="G18" s="16">
        <v>15</v>
      </c>
      <c r="H18" s="17">
        <f t="shared" si="2"/>
        <v>38.222222222222221</v>
      </c>
      <c r="I18" s="17">
        <v>21</v>
      </c>
      <c r="J18" s="17">
        <v>20</v>
      </c>
      <c r="K18" s="17">
        <f t="shared" si="3"/>
        <v>41</v>
      </c>
      <c r="L18" s="17">
        <f t="shared" si="4"/>
        <v>79.222222222222229</v>
      </c>
    </row>
    <row r="19" spans="2:12" s="9" customFormat="1" ht="23.1" customHeight="1">
      <c r="B19" s="13">
        <v>11</v>
      </c>
      <c r="C19" s="14" t="s">
        <v>332</v>
      </c>
      <c r="D19" s="15">
        <v>6217436</v>
      </c>
      <c r="E19" s="16">
        <v>13</v>
      </c>
      <c r="F19" s="16">
        <v>12</v>
      </c>
      <c r="G19" s="16">
        <v>13</v>
      </c>
      <c r="H19" s="17">
        <f t="shared" si="2"/>
        <v>33.777777777777779</v>
      </c>
      <c r="I19" s="17">
        <v>23</v>
      </c>
      <c r="J19" s="17">
        <v>19</v>
      </c>
      <c r="K19" s="17">
        <f t="shared" si="3"/>
        <v>42</v>
      </c>
      <c r="L19" s="17">
        <f t="shared" si="4"/>
        <v>75.777777777777771</v>
      </c>
    </row>
    <row r="20" spans="2:12" s="9" customFormat="1" ht="23.1" customHeight="1">
      <c r="B20" s="13">
        <v>12</v>
      </c>
      <c r="C20" s="14" t="s">
        <v>338</v>
      </c>
      <c r="D20" s="15">
        <v>5482187</v>
      </c>
      <c r="E20" s="16">
        <v>15</v>
      </c>
      <c r="F20" s="16">
        <v>15</v>
      </c>
      <c r="G20" s="16">
        <v>15</v>
      </c>
      <c r="H20" s="17">
        <f t="shared" si="2"/>
        <v>40</v>
      </c>
      <c r="I20" s="17">
        <v>12</v>
      </c>
      <c r="J20" s="17">
        <v>21</v>
      </c>
      <c r="K20" s="17">
        <f t="shared" si="3"/>
        <v>33</v>
      </c>
      <c r="L20" s="17">
        <f t="shared" si="4"/>
        <v>73</v>
      </c>
    </row>
    <row r="21" spans="2:12" s="9" customFormat="1" ht="23.1" customHeight="1">
      <c r="B21" s="13">
        <v>13</v>
      </c>
      <c r="C21" s="14" t="s">
        <v>314</v>
      </c>
      <c r="D21" s="15">
        <v>5434937</v>
      </c>
      <c r="E21" s="16">
        <v>15</v>
      </c>
      <c r="F21" s="16">
        <v>15</v>
      </c>
      <c r="G21" s="16">
        <v>15</v>
      </c>
      <c r="H21" s="17">
        <f t="shared" si="2"/>
        <v>40</v>
      </c>
      <c r="I21" s="17">
        <v>23</v>
      </c>
      <c r="J21" s="17">
        <v>22</v>
      </c>
      <c r="K21" s="17">
        <f t="shared" si="3"/>
        <v>45</v>
      </c>
      <c r="L21" s="17">
        <f t="shared" si="4"/>
        <v>85</v>
      </c>
    </row>
    <row r="22" spans="2:12" s="9" customFormat="1" ht="23.1" customHeight="1">
      <c r="B22" s="13">
        <v>14</v>
      </c>
      <c r="C22" s="14" t="s">
        <v>313</v>
      </c>
      <c r="D22" s="15">
        <v>7669776</v>
      </c>
      <c r="E22" s="16">
        <v>15</v>
      </c>
      <c r="F22" s="16">
        <v>15</v>
      </c>
      <c r="G22" s="16">
        <v>15</v>
      </c>
      <c r="H22" s="17">
        <f t="shared" si="2"/>
        <v>40</v>
      </c>
      <c r="I22" s="17">
        <v>27</v>
      </c>
      <c r="J22" s="17">
        <v>25</v>
      </c>
      <c r="K22" s="17">
        <f t="shared" si="3"/>
        <v>52</v>
      </c>
      <c r="L22" s="17">
        <f t="shared" si="4"/>
        <v>92</v>
      </c>
    </row>
    <row r="23" spans="2:12" s="9" customFormat="1" ht="23.1" customHeight="1">
      <c r="B23" s="13">
        <v>15</v>
      </c>
      <c r="C23" s="14" t="s">
        <v>333</v>
      </c>
      <c r="D23" s="15">
        <v>5922418</v>
      </c>
      <c r="E23" s="16">
        <v>13</v>
      </c>
      <c r="F23" s="16">
        <v>13</v>
      </c>
      <c r="G23" s="16">
        <v>13</v>
      </c>
      <c r="H23" s="17">
        <f t="shared" si="2"/>
        <v>34.666666666666671</v>
      </c>
      <c r="I23" s="17">
        <v>22</v>
      </c>
      <c r="J23" s="17">
        <v>19</v>
      </c>
      <c r="K23" s="17">
        <f t="shared" si="3"/>
        <v>41</v>
      </c>
      <c r="L23" s="17">
        <f t="shared" si="4"/>
        <v>75.666666666666671</v>
      </c>
    </row>
    <row r="24" spans="2:12" s="9" customFormat="1" ht="23.1" customHeight="1">
      <c r="B24" s="13">
        <v>16</v>
      </c>
      <c r="C24" s="14" t="s">
        <v>326</v>
      </c>
      <c r="D24" s="15">
        <v>5224473</v>
      </c>
      <c r="E24" s="16">
        <v>14</v>
      </c>
      <c r="F24" s="16">
        <v>15</v>
      </c>
      <c r="G24" s="16">
        <v>15</v>
      </c>
      <c r="H24" s="17">
        <f t="shared" si="2"/>
        <v>39.111111111111114</v>
      </c>
      <c r="I24" s="17">
        <v>18</v>
      </c>
      <c r="J24" s="17">
        <v>20</v>
      </c>
      <c r="K24" s="17">
        <f t="shared" si="3"/>
        <v>38</v>
      </c>
      <c r="L24" s="17">
        <f t="shared" si="4"/>
        <v>77.111111111111114</v>
      </c>
    </row>
    <row r="25" spans="2:12" s="9" customFormat="1" ht="23.1" customHeight="1">
      <c r="B25" s="13">
        <v>17</v>
      </c>
      <c r="C25" s="14" t="s">
        <v>334</v>
      </c>
      <c r="D25" s="15">
        <v>5360249</v>
      </c>
      <c r="E25" s="16">
        <v>12</v>
      </c>
      <c r="F25" s="16">
        <v>15</v>
      </c>
      <c r="G25" s="16">
        <v>15</v>
      </c>
      <c r="H25" s="17">
        <f t="shared" si="2"/>
        <v>37.333333333333336</v>
      </c>
      <c r="I25" s="17">
        <v>16</v>
      </c>
      <c r="J25" s="17">
        <v>22</v>
      </c>
      <c r="K25" s="17">
        <f t="shared" si="3"/>
        <v>38</v>
      </c>
      <c r="L25" s="17">
        <f t="shared" si="4"/>
        <v>75.333333333333343</v>
      </c>
    </row>
    <row r="26" spans="2:12" s="9" customFormat="1" ht="23.1" customHeight="1">
      <c r="B26" s="13">
        <v>18</v>
      </c>
      <c r="C26" s="14" t="s">
        <v>331</v>
      </c>
      <c r="D26" s="15">
        <v>5143571</v>
      </c>
      <c r="E26" s="16">
        <v>15</v>
      </c>
      <c r="F26" s="16">
        <v>15</v>
      </c>
      <c r="G26" s="16">
        <v>15</v>
      </c>
      <c r="H26" s="17">
        <f t="shared" si="2"/>
        <v>40</v>
      </c>
      <c r="I26" s="17">
        <v>17</v>
      </c>
      <c r="J26" s="17">
        <v>19</v>
      </c>
      <c r="K26" s="17">
        <f t="shared" si="3"/>
        <v>36</v>
      </c>
      <c r="L26" s="17">
        <f t="shared" si="4"/>
        <v>76</v>
      </c>
    </row>
    <row r="27" spans="2:12" s="9" customFormat="1" ht="23.1" customHeight="1">
      <c r="B27" s="13">
        <v>19</v>
      </c>
      <c r="C27" s="14" t="s">
        <v>340</v>
      </c>
      <c r="D27" s="15">
        <v>5872646</v>
      </c>
      <c r="E27" s="16">
        <v>12</v>
      </c>
      <c r="F27" s="16">
        <v>13</v>
      </c>
      <c r="G27" s="16">
        <v>13</v>
      </c>
      <c r="H27" s="17">
        <f t="shared" si="2"/>
        <v>33.777777777777779</v>
      </c>
      <c r="I27" s="17">
        <v>19</v>
      </c>
      <c r="J27" s="17">
        <v>20</v>
      </c>
      <c r="K27" s="17">
        <f t="shared" si="3"/>
        <v>39</v>
      </c>
      <c r="L27" s="17">
        <f t="shared" si="4"/>
        <v>72.777777777777771</v>
      </c>
    </row>
    <row r="28" spans="2:12" s="9" customFormat="1" ht="23.1" customHeight="1">
      <c r="B28" s="13">
        <v>20</v>
      </c>
      <c r="C28" s="14" t="s">
        <v>323</v>
      </c>
      <c r="D28" s="15">
        <v>5443668</v>
      </c>
      <c r="E28" s="16">
        <v>15</v>
      </c>
      <c r="F28" s="16">
        <v>15</v>
      </c>
      <c r="G28" s="16">
        <v>15</v>
      </c>
      <c r="H28" s="17">
        <f t="shared" si="2"/>
        <v>40</v>
      </c>
      <c r="I28" s="17">
        <v>16</v>
      </c>
      <c r="J28" s="17">
        <v>22</v>
      </c>
      <c r="K28" s="17">
        <f t="shared" si="3"/>
        <v>38</v>
      </c>
      <c r="L28" s="17">
        <f t="shared" si="4"/>
        <v>78</v>
      </c>
    </row>
    <row r="29" spans="2:12" s="9" customFormat="1" ht="23.1" customHeight="1">
      <c r="B29" s="13">
        <v>21</v>
      </c>
      <c r="C29" s="14" t="s">
        <v>327</v>
      </c>
      <c r="D29" s="15">
        <v>6258124</v>
      </c>
      <c r="E29" s="16">
        <v>12</v>
      </c>
      <c r="F29" s="16">
        <v>11</v>
      </c>
      <c r="G29" s="16">
        <v>15</v>
      </c>
      <c r="H29" s="17">
        <f t="shared" si="2"/>
        <v>33.777777777777779</v>
      </c>
      <c r="I29" s="17">
        <v>23</v>
      </c>
      <c r="J29" s="17">
        <v>20</v>
      </c>
      <c r="K29" s="17">
        <f t="shared" si="3"/>
        <v>43</v>
      </c>
      <c r="L29" s="17">
        <f t="shared" si="4"/>
        <v>76.777777777777771</v>
      </c>
    </row>
    <row r="30" spans="2:12" s="9" customFormat="1" ht="23.1" customHeight="1">
      <c r="B30" s="13">
        <v>22</v>
      </c>
      <c r="C30" s="14" t="s">
        <v>324</v>
      </c>
      <c r="D30" s="15">
        <v>5862608</v>
      </c>
      <c r="E30" s="16">
        <v>15</v>
      </c>
      <c r="F30" s="16">
        <v>15</v>
      </c>
      <c r="G30" s="16">
        <v>15</v>
      </c>
      <c r="H30" s="17">
        <f t="shared" si="2"/>
        <v>40</v>
      </c>
      <c r="I30" s="17">
        <v>18</v>
      </c>
      <c r="J30" s="17">
        <v>20</v>
      </c>
      <c r="K30" s="17">
        <f t="shared" si="3"/>
        <v>38</v>
      </c>
      <c r="L30" s="17">
        <f t="shared" si="4"/>
        <v>78</v>
      </c>
    </row>
    <row r="31" spans="2:12" s="9" customFormat="1" ht="23.1" customHeight="1">
      <c r="B31" s="13">
        <v>23</v>
      </c>
      <c r="C31" s="14" t="s">
        <v>330</v>
      </c>
      <c r="D31" s="15">
        <v>5991009</v>
      </c>
      <c r="E31" s="16">
        <v>14</v>
      </c>
      <c r="F31" s="16">
        <v>15</v>
      </c>
      <c r="G31" s="16">
        <v>15</v>
      </c>
      <c r="H31" s="17">
        <f t="shared" si="2"/>
        <v>39.111111111111114</v>
      </c>
      <c r="I31" s="17">
        <v>15</v>
      </c>
      <c r="J31" s="17">
        <v>22</v>
      </c>
      <c r="K31" s="17">
        <f t="shared" si="3"/>
        <v>37</v>
      </c>
      <c r="L31" s="17">
        <f t="shared" si="4"/>
        <v>76.111111111111114</v>
      </c>
    </row>
    <row r="32" spans="2:12" s="9" customFormat="1" ht="23.1" customHeight="1">
      <c r="B32" s="13">
        <v>24</v>
      </c>
      <c r="C32" s="14" t="s">
        <v>329</v>
      </c>
      <c r="D32" s="15">
        <v>5224021</v>
      </c>
      <c r="E32" s="16">
        <v>14</v>
      </c>
      <c r="F32" s="16">
        <v>15</v>
      </c>
      <c r="G32" s="16">
        <v>15</v>
      </c>
      <c r="H32" s="17">
        <f t="shared" si="2"/>
        <v>39.111111111111114</v>
      </c>
      <c r="I32" s="17">
        <v>16</v>
      </c>
      <c r="J32" s="17">
        <v>21</v>
      </c>
      <c r="K32" s="17">
        <f t="shared" si="3"/>
        <v>37</v>
      </c>
      <c r="L32" s="17">
        <f t="shared" si="4"/>
        <v>76.111111111111114</v>
      </c>
    </row>
    <row r="33" spans="2:12" s="9" customFormat="1" ht="23.1" customHeight="1">
      <c r="B33" s="13">
        <v>25</v>
      </c>
      <c r="C33" s="14" t="s">
        <v>325</v>
      </c>
      <c r="D33" s="15">
        <v>5712923</v>
      </c>
      <c r="E33" s="16">
        <v>15</v>
      </c>
      <c r="F33" s="16">
        <v>15</v>
      </c>
      <c r="G33" s="16">
        <v>15</v>
      </c>
      <c r="H33" s="17">
        <f t="shared" si="2"/>
        <v>40</v>
      </c>
      <c r="I33" s="17">
        <v>18</v>
      </c>
      <c r="J33" s="17">
        <v>20</v>
      </c>
      <c r="K33" s="17">
        <f t="shared" si="3"/>
        <v>38</v>
      </c>
      <c r="L33" s="17">
        <f t="shared" si="4"/>
        <v>78</v>
      </c>
    </row>
    <row r="34" spans="2:12" s="9" customFormat="1" ht="23.1" customHeight="1">
      <c r="B34" s="13">
        <v>26</v>
      </c>
      <c r="C34" s="14" t="s">
        <v>319</v>
      </c>
      <c r="D34" s="15">
        <v>5573013</v>
      </c>
      <c r="E34" s="16">
        <v>14</v>
      </c>
      <c r="F34" s="16">
        <v>14</v>
      </c>
      <c r="G34" s="16">
        <v>15</v>
      </c>
      <c r="H34" s="17">
        <f t="shared" si="2"/>
        <v>38.222222222222221</v>
      </c>
      <c r="I34" s="17">
        <v>20</v>
      </c>
      <c r="J34" s="17">
        <v>22</v>
      </c>
      <c r="K34" s="17">
        <f t="shared" si="3"/>
        <v>42</v>
      </c>
      <c r="L34" s="17">
        <f t="shared" si="4"/>
        <v>80.222222222222229</v>
      </c>
    </row>
    <row r="35" spans="2:12" s="9" customFormat="1" ht="23.1" customHeight="1">
      <c r="B35" s="13">
        <v>27</v>
      </c>
      <c r="C35" s="14" t="s">
        <v>335</v>
      </c>
      <c r="D35" s="15">
        <v>5644144</v>
      </c>
      <c r="E35" s="16">
        <v>14</v>
      </c>
      <c r="F35" s="16">
        <v>15</v>
      </c>
      <c r="G35" s="16">
        <v>13</v>
      </c>
      <c r="H35" s="17">
        <f t="shared" si="2"/>
        <v>37.333333333333336</v>
      </c>
      <c r="I35" s="17">
        <v>16</v>
      </c>
      <c r="J35" s="17">
        <v>20</v>
      </c>
      <c r="K35" s="17">
        <f t="shared" si="3"/>
        <v>36</v>
      </c>
      <c r="L35" s="17">
        <f t="shared" si="4"/>
        <v>73.333333333333343</v>
      </c>
    </row>
    <row r="36" spans="2:12" s="9" customFormat="1" ht="23.1" customHeight="1">
      <c r="B36" s="13">
        <v>28</v>
      </c>
      <c r="C36" s="14" t="s">
        <v>315</v>
      </c>
      <c r="D36" s="15">
        <v>5221206</v>
      </c>
      <c r="E36" s="16">
        <v>15</v>
      </c>
      <c r="F36" s="16">
        <v>15</v>
      </c>
      <c r="G36" s="16">
        <v>15</v>
      </c>
      <c r="H36" s="17">
        <f t="shared" si="2"/>
        <v>40</v>
      </c>
      <c r="I36" s="17">
        <v>24</v>
      </c>
      <c r="J36" s="17">
        <v>21</v>
      </c>
      <c r="K36" s="17">
        <f t="shared" si="3"/>
        <v>45</v>
      </c>
      <c r="L36" s="17">
        <f t="shared" si="4"/>
        <v>85</v>
      </c>
    </row>
    <row r="37" spans="2:12" s="9" customFormat="1" ht="20.100000000000001" customHeight="1"/>
    <row r="38" spans="2:12" s="9" customFormat="1" ht="20.100000000000001" customHeight="1"/>
    <row r="39" spans="2:12" s="9" customFormat="1" ht="20.100000000000001" customHeight="1"/>
    <row r="40" spans="2:12" s="9" customFormat="1" ht="20.100000000000001" customHeight="1"/>
    <row r="41" spans="2:12" s="9" customFormat="1" ht="20.100000000000001" customHeight="1"/>
    <row r="42" spans="2:12" s="9" customFormat="1" ht="20.100000000000001" customHeight="1"/>
    <row r="43" spans="2:12" s="9" customFormat="1" ht="20.100000000000001" customHeight="1"/>
    <row r="44" spans="2:12" s="9" customFormat="1" ht="20.100000000000001" customHeight="1"/>
    <row r="45" spans="2:12" s="9" customFormat="1" ht="20.100000000000001" customHeight="1"/>
    <row r="46" spans="2:12" s="9" customFormat="1" ht="20.100000000000001" customHeight="1"/>
    <row r="47" spans="2:12" s="9" customFormat="1" ht="20.100000000000001" customHeight="1"/>
    <row r="48" spans="2:12" s="9" customFormat="1" ht="20.100000000000001" customHeight="1"/>
    <row r="49" s="9" customFormat="1" ht="20.100000000000001" customHeight="1"/>
    <row r="50" s="9" customFormat="1" ht="20.100000000000001" customHeight="1"/>
    <row r="51" s="9" customFormat="1" ht="20.100000000000001" customHeight="1"/>
    <row r="52" s="9" customFormat="1" ht="20.100000000000001" customHeight="1"/>
    <row r="53" s="9" customFormat="1" ht="20.100000000000001" customHeight="1"/>
    <row r="54" s="9" customFormat="1" ht="20.100000000000001" customHeight="1"/>
    <row r="55" s="9" customFormat="1" ht="20.100000000000001" customHeight="1"/>
    <row r="56" s="9" customFormat="1" ht="20.100000000000001" customHeight="1"/>
    <row r="57" s="9" customFormat="1" ht="20.100000000000001" customHeight="1"/>
    <row r="58" s="9" customFormat="1" ht="20.100000000000001" customHeight="1"/>
    <row r="59" s="9" customFormat="1" ht="20.100000000000001" customHeight="1"/>
    <row r="60" s="9" customFormat="1" ht="20.100000000000001" customHeight="1"/>
    <row r="61" s="9" customFormat="1" ht="20.100000000000001" customHeight="1"/>
    <row r="62" s="9" customFormat="1" ht="20.100000000000001" customHeight="1"/>
    <row r="63" s="9" customFormat="1" ht="20.100000000000001" customHeight="1"/>
    <row r="64" s="9" customFormat="1" ht="20.100000000000001" customHeight="1"/>
    <row r="65" s="9" customFormat="1" ht="20.100000000000001" customHeight="1"/>
    <row r="66" s="9" customFormat="1" ht="20.100000000000001" customHeight="1"/>
    <row r="67" s="9" customFormat="1" ht="20.100000000000001" customHeight="1"/>
    <row r="68" s="9" customFormat="1" ht="20.100000000000001" customHeight="1"/>
    <row r="69" s="9" customFormat="1" ht="20.100000000000001" customHeight="1"/>
    <row r="70" s="9" customFormat="1" ht="20.100000000000001" customHeight="1"/>
    <row r="71" s="9" customFormat="1" ht="20.100000000000001" customHeight="1"/>
    <row r="72" s="9" customFormat="1" ht="20.100000000000001" customHeight="1"/>
    <row r="73" s="9" customFormat="1" ht="20.100000000000001" customHeight="1"/>
    <row r="74" s="9" customFormat="1" ht="20.100000000000001" customHeight="1"/>
    <row r="75" s="9" customFormat="1" ht="20.100000000000001" customHeight="1"/>
    <row r="76" s="9" customFormat="1" ht="20.100000000000001" customHeight="1"/>
    <row r="77" s="9" customFormat="1" ht="20.100000000000001" customHeight="1"/>
    <row r="78" s="9" customFormat="1" ht="20.100000000000001" customHeight="1"/>
    <row r="79" s="9" customFormat="1" ht="20.100000000000001" customHeight="1"/>
    <row r="80" s="9" customFormat="1" ht="20.100000000000001" customHeight="1"/>
    <row r="81" s="9" customFormat="1" ht="20.100000000000001" customHeight="1"/>
    <row r="82" s="9" customFormat="1" ht="20.100000000000001" customHeight="1"/>
    <row r="83" s="9" customFormat="1" ht="20.100000000000001" customHeight="1"/>
    <row r="84" s="9" customFormat="1" ht="20.100000000000001" customHeight="1"/>
    <row r="85" s="9" customFormat="1" ht="20.100000000000001" customHeight="1"/>
    <row r="86" s="9" customFormat="1" ht="20.100000000000001" customHeight="1"/>
    <row r="87" s="9" customFormat="1" ht="20.100000000000001" customHeight="1"/>
    <row r="88" s="9" customFormat="1" ht="20.100000000000001" customHeight="1"/>
    <row r="89" s="9" customFormat="1" ht="20.100000000000001" customHeight="1"/>
    <row r="90" s="9" customFormat="1" ht="20.100000000000001" customHeight="1"/>
    <row r="91" s="9" customFormat="1" ht="20.100000000000001" customHeight="1"/>
    <row r="92" s="9" customFormat="1" ht="20.100000000000001" customHeight="1"/>
    <row r="93" s="9" customFormat="1" ht="20.100000000000001" customHeight="1"/>
    <row r="94" s="9" customFormat="1" ht="20.100000000000001" customHeight="1"/>
    <row r="95" s="9" customFormat="1" ht="20.100000000000001" customHeight="1"/>
    <row r="96" s="9" customFormat="1" ht="20.100000000000001" customHeight="1"/>
    <row r="97" s="9" customFormat="1" ht="20.100000000000001" customHeight="1"/>
    <row r="98" s="9" customFormat="1" ht="20.100000000000001" customHeight="1"/>
    <row r="99" s="9" customFormat="1" ht="20.100000000000001" customHeight="1"/>
    <row r="100" s="9" customFormat="1" ht="20.100000000000001" customHeight="1"/>
    <row r="101" s="9" customFormat="1" ht="20.100000000000001" customHeight="1"/>
    <row r="102" s="9" customFormat="1" ht="20.100000000000001" customHeight="1"/>
    <row r="103" s="9" customFormat="1" ht="20.100000000000001" customHeight="1"/>
    <row r="104" s="9" customFormat="1" ht="20.100000000000001" customHeight="1"/>
    <row r="105" s="9" customFormat="1" ht="20.100000000000001" customHeight="1"/>
    <row r="106" s="9" customFormat="1" ht="20.100000000000001" customHeight="1"/>
    <row r="107" s="9" customFormat="1" ht="20.100000000000001" customHeight="1"/>
    <row r="108" s="9" customFormat="1" ht="20.100000000000001" customHeight="1"/>
    <row r="109" s="9" customFormat="1" ht="20.100000000000001" customHeight="1"/>
    <row r="110" s="9" customFormat="1" ht="20.100000000000001" customHeight="1"/>
    <row r="111" s="9" customFormat="1" ht="20.100000000000001" customHeight="1"/>
    <row r="112" s="9" customFormat="1" ht="20.100000000000001" customHeight="1"/>
    <row r="113" s="9" customFormat="1" ht="20.100000000000001" customHeight="1"/>
    <row r="114" s="9" customFormat="1" ht="20.100000000000001" customHeight="1"/>
    <row r="115" s="9" customFormat="1" ht="20.100000000000001" customHeight="1"/>
    <row r="116" s="9" customFormat="1" ht="20.100000000000001" customHeight="1"/>
    <row r="117" s="9" customFormat="1" ht="20.100000000000001" customHeight="1"/>
    <row r="118" s="9" customFormat="1" ht="20.100000000000001" customHeight="1"/>
    <row r="119" s="9" customFormat="1" ht="20.100000000000001" customHeight="1"/>
    <row r="120" s="9" customFormat="1" ht="20.100000000000001" customHeight="1"/>
    <row r="121" s="9" customFormat="1" ht="20.100000000000001" customHeight="1"/>
    <row r="122" s="9" customFormat="1" ht="20.100000000000001" customHeight="1"/>
    <row r="123" s="9" customFormat="1" ht="20.100000000000001" customHeight="1"/>
    <row r="124" s="9" customFormat="1" ht="20.100000000000001" customHeight="1"/>
    <row r="125" s="9" customFormat="1" ht="20.100000000000001" customHeight="1"/>
    <row r="126" s="9" customFormat="1" ht="20.100000000000001" customHeight="1"/>
    <row r="127" s="9" customFormat="1" ht="20.100000000000001" customHeight="1"/>
    <row r="128" s="9" customFormat="1" ht="20.100000000000001" customHeight="1"/>
  </sheetData>
  <sortState ref="C9:L36">
    <sortCondition ref="C9:C36"/>
  </sortState>
  <mergeCells count="14">
    <mergeCell ref="I6:J6"/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1.46" header="0.31496062992125984" footer="0.31496062992125984"/>
  <pageSetup paperSize="5"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7"/>
  <sheetViews>
    <sheetView workbookViewId="0">
      <selection activeCell="B1" sqref="B1:L1"/>
    </sheetView>
  </sheetViews>
  <sheetFormatPr baseColWidth="10" defaultRowHeight="15"/>
  <cols>
    <col min="1" max="1" width="2.42578125" customWidth="1"/>
    <col min="2" max="2" width="3.5703125" bestFit="1" customWidth="1"/>
    <col min="3" max="3" width="41.140625" bestFit="1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23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26" t="s">
        <v>7</v>
      </c>
      <c r="J6" s="27"/>
      <c r="K6" s="28" t="s">
        <v>8</v>
      </c>
      <c r="L6" s="52" t="s">
        <v>9</v>
      </c>
    </row>
    <row r="7" spans="2:12" ht="30" customHeight="1">
      <c r="B7" s="36"/>
      <c r="C7" s="36"/>
      <c r="D7" s="37"/>
      <c r="E7" s="6" t="s">
        <v>10</v>
      </c>
      <c r="F7" s="6" t="s">
        <v>11</v>
      </c>
      <c r="G7" s="6" t="s">
        <v>12</v>
      </c>
      <c r="H7" s="29"/>
      <c r="I7" s="5" t="s">
        <v>13</v>
      </c>
      <c r="J7" s="5" t="s">
        <v>14</v>
      </c>
      <c r="K7" s="29"/>
      <c r="L7" s="52"/>
    </row>
    <row r="8" spans="2:12">
      <c r="B8" s="30" t="s">
        <v>15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3">
        <v>1</v>
      </c>
      <c r="C9" s="14" t="s">
        <v>365</v>
      </c>
      <c r="D9" s="15">
        <v>7552969</v>
      </c>
      <c r="E9" s="16">
        <v>11</v>
      </c>
      <c r="F9" s="16">
        <v>12</v>
      </c>
      <c r="G9" s="16">
        <v>12</v>
      </c>
      <c r="H9" s="17">
        <f t="shared" ref="H9:H36" si="2">SUM(E9:G9)*100/45*0.4</f>
        <v>31.111111111111111</v>
      </c>
      <c r="I9" s="17">
        <v>16</v>
      </c>
      <c r="J9" s="17">
        <v>20</v>
      </c>
      <c r="K9" s="17">
        <f t="shared" ref="K9:K36" si="3">SUM(I9:J9)</f>
        <v>36</v>
      </c>
      <c r="L9" s="17">
        <f t="shared" ref="L9:L36" si="4">H9+K9</f>
        <v>67.111111111111114</v>
      </c>
    </row>
    <row r="10" spans="2:12" s="9" customFormat="1" ht="23.1" customHeight="1">
      <c r="B10" s="13">
        <v>2</v>
      </c>
      <c r="C10" s="14" t="s">
        <v>349</v>
      </c>
      <c r="D10" s="15">
        <v>5513633</v>
      </c>
      <c r="E10" s="16">
        <v>15</v>
      </c>
      <c r="F10" s="16">
        <v>15</v>
      </c>
      <c r="G10" s="16">
        <v>15</v>
      </c>
      <c r="H10" s="17">
        <f t="shared" si="2"/>
        <v>40</v>
      </c>
      <c r="I10" s="17">
        <v>12</v>
      </c>
      <c r="J10" s="17">
        <v>18</v>
      </c>
      <c r="K10" s="17">
        <f t="shared" si="3"/>
        <v>30</v>
      </c>
      <c r="L10" s="17">
        <f t="shared" si="4"/>
        <v>70</v>
      </c>
    </row>
    <row r="11" spans="2:12" s="9" customFormat="1" ht="23.1" customHeight="1">
      <c r="B11" s="13">
        <v>3</v>
      </c>
      <c r="C11" s="14" t="s">
        <v>358</v>
      </c>
      <c r="D11" s="15">
        <v>6111380</v>
      </c>
      <c r="E11" s="16">
        <v>15</v>
      </c>
      <c r="F11" s="16">
        <v>14</v>
      </c>
      <c r="G11" s="16">
        <v>13</v>
      </c>
      <c r="H11" s="17">
        <f t="shared" si="2"/>
        <v>37.333333333333336</v>
      </c>
      <c r="I11" s="17">
        <v>12</v>
      </c>
      <c r="J11" s="17">
        <v>18</v>
      </c>
      <c r="K11" s="17">
        <f t="shared" si="3"/>
        <v>30</v>
      </c>
      <c r="L11" s="17">
        <f t="shared" si="4"/>
        <v>67.333333333333343</v>
      </c>
    </row>
    <row r="12" spans="2:12" s="9" customFormat="1" ht="23.1" customHeight="1">
      <c r="B12" s="13">
        <v>4</v>
      </c>
      <c r="C12" s="14" t="s">
        <v>361</v>
      </c>
      <c r="D12" s="15">
        <v>5460729</v>
      </c>
      <c r="E12" s="16">
        <v>12</v>
      </c>
      <c r="F12" s="16">
        <v>8</v>
      </c>
      <c r="G12" s="16">
        <v>13</v>
      </c>
      <c r="H12" s="17">
        <f t="shared" si="2"/>
        <v>29.333333333333332</v>
      </c>
      <c r="I12" s="17">
        <v>21</v>
      </c>
      <c r="J12" s="17">
        <v>17</v>
      </c>
      <c r="K12" s="17">
        <f t="shared" si="3"/>
        <v>38</v>
      </c>
      <c r="L12" s="17">
        <f t="shared" si="4"/>
        <v>67.333333333333329</v>
      </c>
    </row>
    <row r="13" spans="2:12" s="9" customFormat="1" ht="23.1" customHeight="1">
      <c r="B13" s="13">
        <v>5</v>
      </c>
      <c r="C13" s="14" t="s">
        <v>362</v>
      </c>
      <c r="D13" s="15">
        <v>5456531</v>
      </c>
      <c r="E13" s="16">
        <v>9</v>
      </c>
      <c r="F13" s="16">
        <v>12</v>
      </c>
      <c r="G13" s="16">
        <v>13</v>
      </c>
      <c r="H13" s="17">
        <f t="shared" si="2"/>
        <v>30.222222222222225</v>
      </c>
      <c r="I13" s="17">
        <v>20</v>
      </c>
      <c r="J13" s="17">
        <v>17</v>
      </c>
      <c r="K13" s="17">
        <f t="shared" si="3"/>
        <v>37</v>
      </c>
      <c r="L13" s="17">
        <f t="shared" si="4"/>
        <v>67.222222222222229</v>
      </c>
    </row>
    <row r="14" spans="2:12" s="9" customFormat="1" ht="23.1" customHeight="1">
      <c r="B14" s="13">
        <v>6</v>
      </c>
      <c r="C14" s="14" t="s">
        <v>354</v>
      </c>
      <c r="D14" s="15">
        <v>7081498</v>
      </c>
      <c r="E14" s="16">
        <v>14</v>
      </c>
      <c r="F14" s="16">
        <v>13</v>
      </c>
      <c r="G14" s="16">
        <v>9</v>
      </c>
      <c r="H14" s="17">
        <f t="shared" si="2"/>
        <v>32</v>
      </c>
      <c r="I14" s="17">
        <v>15</v>
      </c>
      <c r="J14" s="17">
        <v>22</v>
      </c>
      <c r="K14" s="17">
        <f t="shared" si="3"/>
        <v>37</v>
      </c>
      <c r="L14" s="17">
        <f t="shared" si="4"/>
        <v>69</v>
      </c>
    </row>
    <row r="15" spans="2:12" s="9" customFormat="1" ht="23.1" customHeight="1">
      <c r="B15" s="13">
        <v>7</v>
      </c>
      <c r="C15" s="14" t="s">
        <v>351</v>
      </c>
      <c r="D15" s="15">
        <v>6077834</v>
      </c>
      <c r="E15" s="16">
        <v>9</v>
      </c>
      <c r="F15" s="16">
        <v>9</v>
      </c>
      <c r="G15" s="16">
        <v>13</v>
      </c>
      <c r="H15" s="17">
        <f t="shared" si="2"/>
        <v>27.555555555555557</v>
      </c>
      <c r="I15" s="17">
        <v>23</v>
      </c>
      <c r="J15" s="17">
        <v>19</v>
      </c>
      <c r="K15" s="17">
        <f t="shared" si="3"/>
        <v>42</v>
      </c>
      <c r="L15" s="17">
        <f t="shared" si="4"/>
        <v>69.555555555555557</v>
      </c>
    </row>
    <row r="16" spans="2:12" s="9" customFormat="1" ht="23.1" customHeight="1">
      <c r="B16" s="13">
        <v>8</v>
      </c>
      <c r="C16" s="14" t="s">
        <v>341</v>
      </c>
      <c r="D16" s="15">
        <v>5926513</v>
      </c>
      <c r="E16" s="16">
        <v>14</v>
      </c>
      <c r="F16" s="16">
        <v>12</v>
      </c>
      <c r="G16" s="16">
        <v>14</v>
      </c>
      <c r="H16" s="17">
        <f t="shared" si="2"/>
        <v>35.555555555555557</v>
      </c>
      <c r="I16" s="17">
        <v>16</v>
      </c>
      <c r="J16" s="17">
        <v>21</v>
      </c>
      <c r="K16" s="17">
        <f t="shared" si="3"/>
        <v>37</v>
      </c>
      <c r="L16" s="17">
        <f t="shared" si="4"/>
        <v>72.555555555555557</v>
      </c>
    </row>
    <row r="17" spans="2:12" s="9" customFormat="1" ht="23.1" customHeight="1">
      <c r="B17" s="13">
        <v>9</v>
      </c>
      <c r="C17" s="14" t="s">
        <v>359</v>
      </c>
      <c r="D17" s="15">
        <v>5644166</v>
      </c>
      <c r="E17" s="16">
        <v>13</v>
      </c>
      <c r="F17" s="16">
        <v>14</v>
      </c>
      <c r="G17" s="16">
        <v>15</v>
      </c>
      <c r="H17" s="17">
        <f t="shared" si="2"/>
        <v>37.333333333333336</v>
      </c>
      <c r="I17" s="17">
        <v>14</v>
      </c>
      <c r="J17" s="17">
        <v>16</v>
      </c>
      <c r="K17" s="17">
        <f t="shared" si="3"/>
        <v>30</v>
      </c>
      <c r="L17" s="17">
        <f t="shared" si="4"/>
        <v>67.333333333333343</v>
      </c>
    </row>
    <row r="18" spans="2:12" s="9" customFormat="1" ht="23.1" customHeight="1">
      <c r="B18" s="13">
        <v>10</v>
      </c>
      <c r="C18" s="14" t="s">
        <v>343</v>
      </c>
      <c r="D18" s="15">
        <v>5159703</v>
      </c>
      <c r="E18" s="16">
        <v>14</v>
      </c>
      <c r="F18" s="16">
        <v>14</v>
      </c>
      <c r="G18" s="16">
        <v>15</v>
      </c>
      <c r="H18" s="17">
        <f t="shared" si="2"/>
        <v>38.222222222222221</v>
      </c>
      <c r="I18" s="17">
        <v>17</v>
      </c>
      <c r="J18" s="17">
        <v>17</v>
      </c>
      <c r="K18" s="17">
        <f t="shared" si="3"/>
        <v>34</v>
      </c>
      <c r="L18" s="17">
        <f t="shared" si="4"/>
        <v>72.222222222222229</v>
      </c>
    </row>
    <row r="19" spans="2:12" s="9" customFormat="1" ht="23.1" customHeight="1">
      <c r="B19" s="13">
        <v>11</v>
      </c>
      <c r="C19" s="14" t="s">
        <v>366</v>
      </c>
      <c r="D19" s="15">
        <v>5977533</v>
      </c>
      <c r="E19" s="16">
        <v>12</v>
      </c>
      <c r="F19" s="16">
        <v>12</v>
      </c>
      <c r="G19" s="16">
        <v>12</v>
      </c>
      <c r="H19" s="17">
        <f t="shared" si="2"/>
        <v>32</v>
      </c>
      <c r="I19" s="17">
        <v>15</v>
      </c>
      <c r="J19" s="17">
        <v>20</v>
      </c>
      <c r="K19" s="17">
        <f t="shared" si="3"/>
        <v>35</v>
      </c>
      <c r="L19" s="17">
        <f t="shared" si="4"/>
        <v>67</v>
      </c>
    </row>
    <row r="20" spans="2:12" s="9" customFormat="1" ht="23.1" customHeight="1">
      <c r="B20" s="13">
        <v>12</v>
      </c>
      <c r="C20" s="14" t="s">
        <v>363</v>
      </c>
      <c r="D20" s="15">
        <v>6109753</v>
      </c>
      <c r="E20" s="16">
        <v>12</v>
      </c>
      <c r="F20" s="16">
        <v>11</v>
      </c>
      <c r="G20" s="16">
        <v>11</v>
      </c>
      <c r="H20" s="17">
        <f t="shared" si="2"/>
        <v>30.222222222222225</v>
      </c>
      <c r="I20" s="17">
        <v>17</v>
      </c>
      <c r="J20" s="17">
        <v>20</v>
      </c>
      <c r="K20" s="17">
        <f t="shared" si="3"/>
        <v>37</v>
      </c>
      <c r="L20" s="17">
        <f t="shared" si="4"/>
        <v>67.222222222222229</v>
      </c>
    </row>
    <row r="21" spans="2:12" s="9" customFormat="1" ht="23.1" customHeight="1">
      <c r="B21" s="13">
        <v>13</v>
      </c>
      <c r="C21" s="14" t="s">
        <v>364</v>
      </c>
      <c r="D21" s="15">
        <v>5991991</v>
      </c>
      <c r="E21" s="16">
        <v>15</v>
      </c>
      <c r="F21" s="16">
        <v>15</v>
      </c>
      <c r="G21" s="16">
        <v>13</v>
      </c>
      <c r="H21" s="17">
        <f t="shared" si="2"/>
        <v>38.222222222222221</v>
      </c>
      <c r="I21" s="17">
        <v>12</v>
      </c>
      <c r="J21" s="17">
        <v>17</v>
      </c>
      <c r="K21" s="17">
        <f t="shared" si="3"/>
        <v>29</v>
      </c>
      <c r="L21" s="17">
        <f t="shared" si="4"/>
        <v>67.222222222222229</v>
      </c>
    </row>
    <row r="22" spans="2:12" s="9" customFormat="1" ht="23.1" customHeight="1">
      <c r="B22" s="13">
        <v>14</v>
      </c>
      <c r="C22" s="14" t="s">
        <v>345</v>
      </c>
      <c r="D22" s="15">
        <v>5706786</v>
      </c>
      <c r="E22" s="16">
        <v>15</v>
      </c>
      <c r="F22" s="16">
        <v>15</v>
      </c>
      <c r="G22" s="16">
        <v>15</v>
      </c>
      <c r="H22" s="17">
        <f t="shared" si="2"/>
        <v>40</v>
      </c>
      <c r="I22" s="17">
        <v>19</v>
      </c>
      <c r="J22" s="17">
        <v>13</v>
      </c>
      <c r="K22" s="17">
        <f t="shared" si="3"/>
        <v>32</v>
      </c>
      <c r="L22" s="17">
        <f t="shared" si="4"/>
        <v>72</v>
      </c>
    </row>
    <row r="23" spans="2:12" s="9" customFormat="1" ht="23.1" customHeight="1">
      <c r="B23" s="13">
        <v>15</v>
      </c>
      <c r="C23" s="14" t="s">
        <v>368</v>
      </c>
      <c r="D23" s="15">
        <v>5540379</v>
      </c>
      <c r="E23" s="16">
        <v>11</v>
      </c>
      <c r="F23" s="16">
        <v>14</v>
      </c>
      <c r="G23" s="16">
        <v>14</v>
      </c>
      <c r="H23" s="17">
        <f t="shared" si="2"/>
        <v>34.666666666666671</v>
      </c>
      <c r="I23" s="17">
        <v>14</v>
      </c>
      <c r="J23" s="17">
        <v>18</v>
      </c>
      <c r="K23" s="17">
        <f t="shared" si="3"/>
        <v>32</v>
      </c>
      <c r="L23" s="17">
        <f t="shared" si="4"/>
        <v>66.666666666666671</v>
      </c>
    </row>
    <row r="24" spans="2:12" s="9" customFormat="1" ht="23.1" customHeight="1">
      <c r="B24" s="13">
        <v>16</v>
      </c>
      <c r="C24" s="14" t="s">
        <v>347</v>
      </c>
      <c r="D24" s="15">
        <v>5435971</v>
      </c>
      <c r="E24" s="16">
        <v>12</v>
      </c>
      <c r="F24" s="16">
        <v>11</v>
      </c>
      <c r="G24" s="16">
        <v>12</v>
      </c>
      <c r="H24" s="17">
        <f t="shared" si="2"/>
        <v>31.111111111111111</v>
      </c>
      <c r="I24" s="17">
        <v>20</v>
      </c>
      <c r="J24" s="17">
        <v>20</v>
      </c>
      <c r="K24" s="17">
        <f t="shared" si="3"/>
        <v>40</v>
      </c>
      <c r="L24" s="17">
        <f t="shared" si="4"/>
        <v>71.111111111111114</v>
      </c>
    </row>
    <row r="25" spans="2:12" s="9" customFormat="1" ht="23.1" customHeight="1">
      <c r="B25" s="13">
        <v>17</v>
      </c>
      <c r="C25" s="14" t="s">
        <v>367</v>
      </c>
      <c r="D25" s="15">
        <v>5829249</v>
      </c>
      <c r="E25" s="16">
        <v>15</v>
      </c>
      <c r="F25" s="16">
        <v>15</v>
      </c>
      <c r="G25" s="16">
        <v>15</v>
      </c>
      <c r="H25" s="17">
        <f t="shared" si="2"/>
        <v>40</v>
      </c>
      <c r="I25" s="17">
        <v>11</v>
      </c>
      <c r="J25" s="17">
        <v>16</v>
      </c>
      <c r="K25" s="17">
        <f t="shared" si="3"/>
        <v>27</v>
      </c>
      <c r="L25" s="17">
        <f t="shared" si="4"/>
        <v>67</v>
      </c>
    </row>
    <row r="26" spans="2:12" s="9" customFormat="1" ht="23.1" customHeight="1">
      <c r="B26" s="13">
        <v>18</v>
      </c>
      <c r="C26" s="14" t="s">
        <v>355</v>
      </c>
      <c r="D26" s="15">
        <v>6154444</v>
      </c>
      <c r="E26" s="16">
        <v>13</v>
      </c>
      <c r="F26" s="16">
        <v>15</v>
      </c>
      <c r="G26" s="16">
        <v>15</v>
      </c>
      <c r="H26" s="17">
        <f t="shared" si="2"/>
        <v>38.222222222222221</v>
      </c>
      <c r="I26" s="17">
        <v>14</v>
      </c>
      <c r="J26" s="17">
        <v>16</v>
      </c>
      <c r="K26" s="17">
        <f t="shared" si="3"/>
        <v>30</v>
      </c>
      <c r="L26" s="17">
        <f t="shared" si="4"/>
        <v>68.222222222222229</v>
      </c>
    </row>
    <row r="27" spans="2:12" s="9" customFormat="1" ht="23.1" customHeight="1">
      <c r="B27" s="13">
        <v>19</v>
      </c>
      <c r="C27" s="14" t="s">
        <v>342</v>
      </c>
      <c r="D27" s="15">
        <v>7110397</v>
      </c>
      <c r="E27" s="16">
        <v>14</v>
      </c>
      <c r="F27" s="16">
        <v>14</v>
      </c>
      <c r="G27" s="16">
        <v>14</v>
      </c>
      <c r="H27" s="17">
        <f t="shared" si="2"/>
        <v>37.333333333333336</v>
      </c>
      <c r="I27" s="17">
        <v>17</v>
      </c>
      <c r="J27" s="17">
        <v>18</v>
      </c>
      <c r="K27" s="17">
        <f t="shared" si="3"/>
        <v>35</v>
      </c>
      <c r="L27" s="17">
        <f t="shared" si="4"/>
        <v>72.333333333333343</v>
      </c>
    </row>
    <row r="28" spans="2:12" s="9" customFormat="1" ht="23.1" customHeight="1">
      <c r="B28" s="13">
        <v>20</v>
      </c>
      <c r="C28" s="14" t="s">
        <v>352</v>
      </c>
      <c r="D28" s="15">
        <v>7993348</v>
      </c>
      <c r="E28" s="16">
        <v>15</v>
      </c>
      <c r="F28" s="16">
        <v>14</v>
      </c>
      <c r="G28" s="16">
        <v>14</v>
      </c>
      <c r="H28" s="17">
        <f t="shared" si="2"/>
        <v>38.222222222222221</v>
      </c>
      <c r="I28" s="17">
        <v>15</v>
      </c>
      <c r="J28" s="17">
        <v>16</v>
      </c>
      <c r="K28" s="17">
        <f t="shared" si="3"/>
        <v>31</v>
      </c>
      <c r="L28" s="17">
        <f t="shared" si="4"/>
        <v>69.222222222222229</v>
      </c>
    </row>
    <row r="29" spans="2:12" s="9" customFormat="1" ht="23.1" customHeight="1">
      <c r="B29" s="13">
        <v>21</v>
      </c>
      <c r="C29" s="14" t="s">
        <v>356</v>
      </c>
      <c r="D29" s="15">
        <v>5898117</v>
      </c>
      <c r="E29" s="16">
        <v>15</v>
      </c>
      <c r="F29" s="16">
        <v>14</v>
      </c>
      <c r="G29" s="16">
        <v>15</v>
      </c>
      <c r="H29" s="17">
        <f t="shared" si="2"/>
        <v>39.111111111111114</v>
      </c>
      <c r="I29" s="17">
        <v>12</v>
      </c>
      <c r="J29" s="17">
        <v>17</v>
      </c>
      <c r="K29" s="17">
        <f t="shared" si="3"/>
        <v>29</v>
      </c>
      <c r="L29" s="17">
        <f t="shared" si="4"/>
        <v>68.111111111111114</v>
      </c>
    </row>
    <row r="30" spans="2:12" s="9" customFormat="1" ht="23.1" customHeight="1">
      <c r="B30" s="13">
        <v>22</v>
      </c>
      <c r="C30" s="14" t="s">
        <v>360</v>
      </c>
      <c r="D30" s="15">
        <v>6571190</v>
      </c>
      <c r="E30" s="16">
        <v>12</v>
      </c>
      <c r="F30" s="16">
        <v>15</v>
      </c>
      <c r="G30" s="16">
        <v>15</v>
      </c>
      <c r="H30" s="17">
        <f t="shared" si="2"/>
        <v>37.333333333333336</v>
      </c>
      <c r="I30" s="17">
        <v>14</v>
      </c>
      <c r="J30" s="17">
        <v>16</v>
      </c>
      <c r="K30" s="17">
        <f t="shared" si="3"/>
        <v>30</v>
      </c>
      <c r="L30" s="17">
        <f t="shared" si="4"/>
        <v>67.333333333333343</v>
      </c>
    </row>
    <row r="31" spans="2:12" s="9" customFormat="1" ht="23.1" customHeight="1">
      <c r="B31" s="13">
        <v>23</v>
      </c>
      <c r="C31" s="14" t="s">
        <v>357</v>
      </c>
      <c r="D31" s="15">
        <v>5350929</v>
      </c>
      <c r="E31" s="16">
        <v>15</v>
      </c>
      <c r="F31" s="16">
        <v>15</v>
      </c>
      <c r="G31" s="16">
        <v>15</v>
      </c>
      <c r="H31" s="17">
        <f t="shared" si="2"/>
        <v>40</v>
      </c>
      <c r="I31" s="17">
        <v>11</v>
      </c>
      <c r="J31" s="17">
        <v>17</v>
      </c>
      <c r="K31" s="17">
        <f t="shared" si="3"/>
        <v>28</v>
      </c>
      <c r="L31" s="17">
        <f t="shared" si="4"/>
        <v>68</v>
      </c>
    </row>
    <row r="32" spans="2:12" s="9" customFormat="1" ht="23.1" customHeight="1">
      <c r="B32" s="13">
        <v>24</v>
      </c>
      <c r="C32" s="14" t="s">
        <v>353</v>
      </c>
      <c r="D32" s="15">
        <v>5900480</v>
      </c>
      <c r="E32" s="16">
        <v>15</v>
      </c>
      <c r="F32" s="16">
        <v>14</v>
      </c>
      <c r="G32" s="16">
        <v>15</v>
      </c>
      <c r="H32" s="17">
        <f t="shared" si="2"/>
        <v>39.111111111111114</v>
      </c>
      <c r="I32" s="17">
        <v>14</v>
      </c>
      <c r="J32" s="17">
        <v>16</v>
      </c>
      <c r="K32" s="17">
        <f t="shared" si="3"/>
        <v>30</v>
      </c>
      <c r="L32" s="17">
        <f t="shared" si="4"/>
        <v>69.111111111111114</v>
      </c>
    </row>
    <row r="33" spans="2:12" s="9" customFormat="1" ht="23.1" customHeight="1">
      <c r="B33" s="13">
        <v>25</v>
      </c>
      <c r="C33" s="14" t="s">
        <v>344</v>
      </c>
      <c r="D33" s="15">
        <v>5771612</v>
      </c>
      <c r="E33" s="16">
        <v>13</v>
      </c>
      <c r="F33" s="16">
        <v>10</v>
      </c>
      <c r="G33" s="16">
        <v>11</v>
      </c>
      <c r="H33" s="17">
        <f t="shared" si="2"/>
        <v>30.222222222222225</v>
      </c>
      <c r="I33" s="17">
        <v>18</v>
      </c>
      <c r="J33" s="17">
        <v>24</v>
      </c>
      <c r="K33" s="17">
        <f t="shared" si="3"/>
        <v>42</v>
      </c>
      <c r="L33" s="17">
        <f t="shared" si="4"/>
        <v>72.222222222222229</v>
      </c>
    </row>
    <row r="34" spans="2:12" s="9" customFormat="1" ht="23.1" customHeight="1">
      <c r="B34" s="13">
        <v>26</v>
      </c>
      <c r="C34" s="14" t="s">
        <v>346</v>
      </c>
      <c r="D34" s="15">
        <v>6541931</v>
      </c>
      <c r="E34" s="16">
        <v>15</v>
      </c>
      <c r="F34" s="16">
        <v>12</v>
      </c>
      <c r="G34" s="16">
        <v>15</v>
      </c>
      <c r="H34" s="17">
        <f t="shared" si="2"/>
        <v>37.333333333333336</v>
      </c>
      <c r="I34" s="17">
        <v>12</v>
      </c>
      <c r="J34" s="17">
        <v>22</v>
      </c>
      <c r="K34" s="17">
        <f t="shared" si="3"/>
        <v>34</v>
      </c>
      <c r="L34" s="17">
        <f t="shared" si="4"/>
        <v>71.333333333333343</v>
      </c>
    </row>
    <row r="35" spans="2:12" s="9" customFormat="1" ht="23.1" customHeight="1">
      <c r="B35" s="13">
        <v>27</v>
      </c>
      <c r="C35" s="14" t="s">
        <v>348</v>
      </c>
      <c r="D35" s="15">
        <v>5282654</v>
      </c>
      <c r="E35" s="16">
        <v>15</v>
      </c>
      <c r="F35" s="16">
        <v>14</v>
      </c>
      <c r="G35" s="16">
        <v>15</v>
      </c>
      <c r="H35" s="17">
        <f t="shared" si="2"/>
        <v>39.111111111111114</v>
      </c>
      <c r="I35" s="17">
        <v>18</v>
      </c>
      <c r="J35" s="17">
        <v>13</v>
      </c>
      <c r="K35" s="17">
        <f t="shared" si="3"/>
        <v>31</v>
      </c>
      <c r="L35" s="17">
        <f t="shared" si="4"/>
        <v>70.111111111111114</v>
      </c>
    </row>
    <row r="36" spans="2:12" s="9" customFormat="1" ht="23.1" customHeight="1">
      <c r="B36" s="13">
        <v>28</v>
      </c>
      <c r="C36" s="14" t="s">
        <v>350</v>
      </c>
      <c r="D36" s="15">
        <v>6519738</v>
      </c>
      <c r="E36" s="16">
        <v>12</v>
      </c>
      <c r="F36" s="16">
        <v>12</v>
      </c>
      <c r="G36" s="16">
        <v>15</v>
      </c>
      <c r="H36" s="17">
        <f t="shared" si="2"/>
        <v>34.666666666666671</v>
      </c>
      <c r="I36" s="17">
        <v>16</v>
      </c>
      <c r="J36" s="17">
        <v>19</v>
      </c>
      <c r="K36" s="17">
        <f t="shared" si="3"/>
        <v>35</v>
      </c>
      <c r="L36" s="17">
        <f t="shared" si="4"/>
        <v>69.666666666666671</v>
      </c>
    </row>
    <row r="37" spans="2:12" s="9" customFormat="1" ht="20.100000000000001" customHeight="1"/>
    <row r="38" spans="2:12" s="9" customFormat="1" ht="20.100000000000001" customHeight="1"/>
    <row r="39" spans="2:12" s="9" customFormat="1" ht="20.100000000000001" customHeight="1"/>
    <row r="40" spans="2:12" s="9" customFormat="1" ht="20.100000000000001" customHeight="1"/>
    <row r="41" spans="2:12" s="9" customFormat="1" ht="20.100000000000001" customHeight="1"/>
    <row r="42" spans="2:12" s="9" customFormat="1" ht="20.100000000000001" customHeight="1"/>
    <row r="43" spans="2:12" s="9" customFormat="1" ht="20.100000000000001" customHeight="1"/>
    <row r="44" spans="2:12" s="9" customFormat="1" ht="20.100000000000001" customHeight="1"/>
    <row r="45" spans="2:12" s="9" customFormat="1" ht="20.100000000000001" customHeight="1"/>
    <row r="46" spans="2:12" s="9" customFormat="1" ht="20.100000000000001" customHeight="1"/>
    <row r="47" spans="2:12" s="9" customFormat="1" ht="20.100000000000001" customHeight="1"/>
    <row r="48" spans="2:12" s="9" customFormat="1" ht="20.100000000000001" customHeight="1"/>
    <row r="49" s="9" customFormat="1" ht="20.100000000000001" customHeight="1"/>
    <row r="50" s="9" customFormat="1" ht="20.100000000000001" customHeight="1"/>
    <row r="51" s="9" customFormat="1" ht="20.100000000000001" customHeight="1"/>
    <row r="52" s="9" customFormat="1" ht="20.100000000000001" customHeight="1"/>
    <row r="53" s="9" customFormat="1" ht="20.100000000000001" customHeight="1"/>
    <row r="54" s="9" customFormat="1" ht="20.100000000000001" customHeight="1"/>
    <row r="55" s="9" customFormat="1" ht="20.100000000000001" customHeight="1"/>
    <row r="56" s="9" customFormat="1" ht="20.100000000000001" customHeight="1"/>
    <row r="57" s="9" customFormat="1" ht="20.100000000000001" customHeight="1"/>
    <row r="58" s="9" customFormat="1" ht="20.100000000000001" customHeight="1"/>
    <row r="59" s="9" customFormat="1" ht="20.100000000000001" customHeight="1"/>
    <row r="60" s="9" customFormat="1" ht="20.100000000000001" customHeight="1"/>
    <row r="61" s="9" customFormat="1" ht="20.100000000000001" customHeight="1"/>
    <row r="62" s="9" customFormat="1" ht="20.100000000000001" customHeight="1"/>
    <row r="63" s="9" customFormat="1" ht="20.100000000000001" customHeight="1"/>
    <row r="64" s="9" customFormat="1" ht="20.100000000000001" customHeight="1"/>
    <row r="65" s="9" customFormat="1" ht="20.100000000000001" customHeight="1"/>
    <row r="66" s="9" customFormat="1" ht="20.100000000000001" customHeight="1"/>
    <row r="67" s="9" customFormat="1" ht="20.100000000000001" customHeight="1"/>
    <row r="68" s="9" customFormat="1" ht="20.100000000000001" customHeight="1"/>
    <row r="69" s="9" customFormat="1" ht="20.100000000000001" customHeight="1"/>
    <row r="70" s="9" customFormat="1" ht="20.100000000000001" customHeight="1"/>
    <row r="71" s="9" customFormat="1" ht="20.100000000000001" customHeight="1"/>
    <row r="72" s="9" customFormat="1" ht="20.100000000000001" customHeight="1"/>
    <row r="73" s="9" customFormat="1" ht="20.100000000000001" customHeight="1"/>
    <row r="74" s="9" customFormat="1" ht="20.100000000000001" customHeight="1"/>
    <row r="75" s="9" customFormat="1" ht="20.100000000000001" customHeight="1"/>
    <row r="76" s="9" customFormat="1" ht="20.100000000000001" customHeight="1"/>
    <row r="77" s="9" customFormat="1" ht="20.100000000000001" customHeight="1"/>
    <row r="78" s="9" customFormat="1" ht="20.100000000000001" customHeight="1"/>
    <row r="79" s="9" customFormat="1" ht="20.100000000000001" customHeight="1"/>
    <row r="80" s="9" customFormat="1" ht="20.100000000000001" customHeight="1"/>
    <row r="81" s="9" customFormat="1" ht="20.100000000000001" customHeight="1"/>
    <row r="82" s="9" customFormat="1" ht="20.100000000000001" customHeight="1"/>
    <row r="83" s="9" customFormat="1" ht="20.100000000000001" customHeight="1"/>
    <row r="84" s="9" customFormat="1" ht="20.100000000000001" customHeight="1"/>
    <row r="85" s="9" customFormat="1" ht="20.100000000000001" customHeight="1"/>
    <row r="86" s="9" customFormat="1" ht="20.100000000000001" customHeight="1"/>
    <row r="87" s="9" customFormat="1" ht="20.100000000000001" customHeight="1"/>
    <row r="88" s="9" customFormat="1" ht="20.100000000000001" customHeight="1"/>
    <row r="89" s="9" customFormat="1" ht="20.100000000000001" customHeight="1"/>
    <row r="90" s="9" customFormat="1" ht="20.100000000000001" customHeight="1"/>
    <row r="91" s="9" customFormat="1" ht="20.100000000000001" customHeight="1"/>
    <row r="92" s="9" customFormat="1" ht="20.100000000000001" customHeight="1"/>
    <row r="93" s="9" customFormat="1" ht="20.100000000000001" customHeight="1"/>
    <row r="94" s="9" customFormat="1" ht="20.100000000000001" customHeight="1"/>
    <row r="95" s="9" customFormat="1" ht="20.100000000000001" customHeight="1"/>
    <row r="96" s="9" customFormat="1" ht="20.100000000000001" customHeight="1"/>
    <row r="97" s="9" customFormat="1" ht="20.100000000000001" customHeight="1"/>
    <row r="98" s="9" customFormat="1" ht="20.100000000000001" customHeight="1"/>
    <row r="99" s="9" customFormat="1" ht="20.100000000000001" customHeight="1"/>
    <row r="100" s="9" customFormat="1" ht="20.100000000000001" customHeight="1"/>
    <row r="101" s="9" customFormat="1" ht="20.100000000000001" customHeight="1"/>
    <row r="102" s="9" customFormat="1" ht="20.100000000000001" customHeight="1"/>
    <row r="103" s="9" customFormat="1" ht="20.100000000000001" customHeight="1"/>
    <row r="104" s="9" customFormat="1" ht="20.100000000000001" customHeight="1"/>
    <row r="105" s="9" customFormat="1" ht="20.100000000000001" customHeight="1"/>
    <row r="106" s="9" customFormat="1" ht="20.100000000000001" customHeight="1"/>
    <row r="107" s="9" customFormat="1" ht="20.100000000000001" customHeight="1"/>
    <row r="108" s="9" customFormat="1" ht="20.100000000000001" customHeight="1"/>
    <row r="109" s="9" customFormat="1" ht="20.100000000000001" customHeight="1"/>
    <row r="110" s="9" customFormat="1" ht="20.100000000000001" customHeight="1"/>
    <row r="111" s="9" customFormat="1" ht="20.100000000000001" customHeight="1"/>
    <row r="112" s="9" customFormat="1" ht="20.100000000000001" customHeight="1"/>
    <row r="113" s="9" customFormat="1" ht="20.100000000000001" customHeight="1"/>
    <row r="114" s="9" customFormat="1" ht="20.100000000000001" customHeight="1"/>
    <row r="115" s="9" customFormat="1" ht="20.100000000000001" customHeight="1"/>
    <row r="116" s="9" customFormat="1" ht="20.100000000000001" customHeight="1"/>
    <row r="117" s="9" customFormat="1" ht="20.100000000000001" customHeight="1"/>
    <row r="118" s="9" customFormat="1" ht="20.100000000000001" customHeight="1"/>
    <row r="119" s="9" customFormat="1" ht="20.100000000000001" customHeight="1"/>
    <row r="120" s="9" customFormat="1" ht="20.100000000000001" customHeight="1"/>
    <row r="121" s="9" customFormat="1" ht="20.100000000000001" customHeight="1"/>
    <row r="122" s="9" customFormat="1" ht="20.100000000000001" customHeight="1"/>
    <row r="123" s="9" customFormat="1" ht="20.100000000000001" customHeight="1"/>
    <row r="124" s="9" customFormat="1" ht="20.100000000000001" customHeight="1"/>
    <row r="125" s="9" customFormat="1" ht="20.100000000000001" customHeight="1"/>
    <row r="126" s="9" customFormat="1" ht="20.100000000000001" customHeight="1"/>
    <row r="127" s="9" customFormat="1" ht="20.100000000000001" customHeight="1"/>
  </sheetData>
  <sortState ref="C9:L36">
    <sortCondition ref="C9:C36"/>
  </sortState>
  <mergeCells count="14">
    <mergeCell ref="I6:J6"/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1.46" header="0.31496062992125984" footer="0.31496062992125984"/>
  <pageSetup paperSize="5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2.85546875" customWidth="1"/>
    <col min="2" max="2" width="2.7109375" bestFit="1" customWidth="1"/>
    <col min="3" max="3" width="40.7109375" customWidth="1"/>
    <col min="4" max="4" width="10.85546875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42" t="s">
        <v>22</v>
      </c>
      <c r="C5" s="43"/>
      <c r="D5" s="43"/>
      <c r="E5" s="43"/>
      <c r="F5" s="43"/>
      <c r="G5" s="43"/>
      <c r="H5" s="43"/>
      <c r="I5" s="43"/>
      <c r="J5" s="43"/>
      <c r="K5" s="43"/>
      <c r="L5" s="44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29"/>
    </row>
    <row r="8" spans="2:12">
      <c r="B8" s="30" t="s">
        <v>18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383</v>
      </c>
      <c r="D9" s="15">
        <v>5867001</v>
      </c>
      <c r="E9" s="16">
        <v>15</v>
      </c>
      <c r="F9" s="16">
        <v>15</v>
      </c>
      <c r="G9" s="16">
        <v>15</v>
      </c>
      <c r="H9" s="17">
        <f t="shared" ref="H9:H36" si="2">SUM(E9:G9)*100/45*0.4</f>
        <v>40</v>
      </c>
      <c r="I9" s="17">
        <v>11</v>
      </c>
      <c r="J9" s="17">
        <v>17</v>
      </c>
      <c r="K9" s="17">
        <f t="shared" ref="K9:K36" si="3">SUM(I9:J9)</f>
        <v>28</v>
      </c>
      <c r="L9" s="17">
        <f t="shared" ref="L9:L36" si="4">H9+K9</f>
        <v>68</v>
      </c>
    </row>
    <row r="10" spans="2:12" s="9" customFormat="1" ht="23.1" customHeight="1">
      <c r="B10" s="19">
        <v>2</v>
      </c>
      <c r="C10" s="14" t="s">
        <v>371</v>
      </c>
      <c r="D10" s="15">
        <v>6245432</v>
      </c>
      <c r="E10" s="16">
        <v>12</v>
      </c>
      <c r="F10" s="16">
        <v>11</v>
      </c>
      <c r="G10" s="16">
        <v>12</v>
      </c>
      <c r="H10" s="17">
        <f t="shared" si="2"/>
        <v>31.111111111111111</v>
      </c>
      <c r="I10" s="17">
        <v>21</v>
      </c>
      <c r="J10" s="17">
        <v>22</v>
      </c>
      <c r="K10" s="17">
        <f t="shared" si="3"/>
        <v>43</v>
      </c>
      <c r="L10" s="17">
        <f t="shared" si="4"/>
        <v>74.111111111111114</v>
      </c>
    </row>
    <row r="11" spans="2:12" s="9" customFormat="1" ht="23.1" customHeight="1">
      <c r="B11" s="19">
        <v>3</v>
      </c>
      <c r="C11" s="18" t="s">
        <v>387</v>
      </c>
      <c r="D11" s="15">
        <v>5292104</v>
      </c>
      <c r="E11" s="15">
        <v>13</v>
      </c>
      <c r="F11" s="15">
        <v>15</v>
      </c>
      <c r="G11" s="15">
        <v>15</v>
      </c>
      <c r="H11" s="17">
        <f t="shared" si="2"/>
        <v>38.222222222222221</v>
      </c>
      <c r="I11" s="17">
        <v>13</v>
      </c>
      <c r="J11" s="17">
        <v>15</v>
      </c>
      <c r="K11" s="17">
        <f t="shared" si="3"/>
        <v>28</v>
      </c>
      <c r="L11" s="17">
        <f t="shared" si="4"/>
        <v>66.222222222222229</v>
      </c>
    </row>
    <row r="12" spans="2:12" s="9" customFormat="1" ht="23.1" customHeight="1">
      <c r="B12" s="19">
        <v>4</v>
      </c>
      <c r="C12" s="14" t="s">
        <v>381</v>
      </c>
      <c r="D12" s="15">
        <v>6094979</v>
      </c>
      <c r="E12" s="16">
        <v>14</v>
      </c>
      <c r="F12" s="16">
        <v>10</v>
      </c>
      <c r="G12" s="16">
        <v>11</v>
      </c>
      <c r="H12" s="17">
        <f t="shared" si="2"/>
        <v>31.111111111111111</v>
      </c>
      <c r="I12" s="17">
        <v>16</v>
      </c>
      <c r="J12" s="17">
        <v>21</v>
      </c>
      <c r="K12" s="17">
        <f t="shared" si="3"/>
        <v>37</v>
      </c>
      <c r="L12" s="17">
        <f t="shared" si="4"/>
        <v>68.111111111111114</v>
      </c>
    </row>
    <row r="13" spans="2:12" s="9" customFormat="1" ht="23.1" customHeight="1">
      <c r="B13" s="19">
        <v>5</v>
      </c>
      <c r="C13" s="14" t="s">
        <v>388</v>
      </c>
      <c r="D13" s="15">
        <v>8473793</v>
      </c>
      <c r="E13" s="16">
        <v>15</v>
      </c>
      <c r="F13" s="16">
        <v>15</v>
      </c>
      <c r="G13" s="16">
        <v>15</v>
      </c>
      <c r="H13" s="17">
        <f t="shared" si="2"/>
        <v>40</v>
      </c>
      <c r="I13" s="17">
        <v>8</v>
      </c>
      <c r="J13" s="17">
        <v>18</v>
      </c>
      <c r="K13" s="17">
        <f t="shared" si="3"/>
        <v>26</v>
      </c>
      <c r="L13" s="17">
        <f t="shared" si="4"/>
        <v>66</v>
      </c>
    </row>
    <row r="14" spans="2:12" s="9" customFormat="1" ht="23.1" customHeight="1">
      <c r="B14" s="19">
        <v>6</v>
      </c>
      <c r="C14" s="14" t="s">
        <v>375</v>
      </c>
      <c r="D14" s="15">
        <v>6643684</v>
      </c>
      <c r="E14" s="16">
        <v>12</v>
      </c>
      <c r="F14" s="16">
        <v>14</v>
      </c>
      <c r="G14" s="16">
        <v>13</v>
      </c>
      <c r="H14" s="17">
        <f t="shared" si="2"/>
        <v>34.666666666666671</v>
      </c>
      <c r="I14" s="17">
        <v>21</v>
      </c>
      <c r="J14" s="17">
        <v>17</v>
      </c>
      <c r="K14" s="17">
        <f t="shared" si="3"/>
        <v>38</v>
      </c>
      <c r="L14" s="17">
        <f t="shared" si="4"/>
        <v>72.666666666666671</v>
      </c>
    </row>
    <row r="15" spans="2:12" s="9" customFormat="1" ht="23.1" customHeight="1">
      <c r="B15" s="19">
        <v>7</v>
      </c>
      <c r="C15" s="14" t="s">
        <v>372</v>
      </c>
      <c r="D15" s="15">
        <v>5194036</v>
      </c>
      <c r="E15" s="16">
        <v>14</v>
      </c>
      <c r="F15" s="16">
        <v>15</v>
      </c>
      <c r="G15" s="16">
        <v>15</v>
      </c>
      <c r="H15" s="17">
        <f t="shared" si="2"/>
        <v>39.111111111111114</v>
      </c>
      <c r="I15" s="17">
        <v>17</v>
      </c>
      <c r="J15" s="17">
        <v>18</v>
      </c>
      <c r="K15" s="17">
        <f t="shared" si="3"/>
        <v>35</v>
      </c>
      <c r="L15" s="17">
        <f t="shared" si="4"/>
        <v>74.111111111111114</v>
      </c>
    </row>
    <row r="16" spans="2:12" s="9" customFormat="1" ht="23.1" customHeight="1">
      <c r="B16" s="19">
        <v>8</v>
      </c>
      <c r="C16" s="14" t="s">
        <v>377</v>
      </c>
      <c r="D16" s="15">
        <v>6054334</v>
      </c>
      <c r="E16" s="16">
        <v>15</v>
      </c>
      <c r="F16" s="16">
        <v>13</v>
      </c>
      <c r="G16" s="16">
        <v>14</v>
      </c>
      <c r="H16" s="17">
        <f t="shared" si="2"/>
        <v>37.333333333333336</v>
      </c>
      <c r="I16" s="17">
        <v>15</v>
      </c>
      <c r="J16" s="17">
        <v>18</v>
      </c>
      <c r="K16" s="17">
        <f t="shared" si="3"/>
        <v>33</v>
      </c>
      <c r="L16" s="17">
        <f t="shared" si="4"/>
        <v>70.333333333333343</v>
      </c>
    </row>
    <row r="17" spans="2:12" s="9" customFormat="1" ht="23.1" customHeight="1">
      <c r="B17" s="19">
        <v>9</v>
      </c>
      <c r="C17" s="14" t="s">
        <v>379</v>
      </c>
      <c r="D17" s="15">
        <v>5358091</v>
      </c>
      <c r="E17" s="16">
        <v>13</v>
      </c>
      <c r="F17" s="16">
        <v>11</v>
      </c>
      <c r="G17" s="16">
        <v>12</v>
      </c>
      <c r="H17" s="17">
        <f t="shared" si="2"/>
        <v>32</v>
      </c>
      <c r="I17" s="17">
        <v>17</v>
      </c>
      <c r="J17" s="17">
        <v>20</v>
      </c>
      <c r="K17" s="17">
        <f t="shared" si="3"/>
        <v>37</v>
      </c>
      <c r="L17" s="17">
        <f t="shared" si="4"/>
        <v>69</v>
      </c>
    </row>
    <row r="18" spans="2:12" s="9" customFormat="1" ht="23.1" customHeight="1">
      <c r="B18" s="19">
        <v>10</v>
      </c>
      <c r="C18" s="14" t="s">
        <v>374</v>
      </c>
      <c r="D18" s="15">
        <v>5314832</v>
      </c>
      <c r="E18" s="16">
        <v>13</v>
      </c>
      <c r="F18" s="16">
        <v>12</v>
      </c>
      <c r="G18" s="16">
        <v>13</v>
      </c>
      <c r="H18" s="17">
        <f t="shared" si="2"/>
        <v>33.777777777777779</v>
      </c>
      <c r="I18" s="17">
        <v>16</v>
      </c>
      <c r="J18" s="17">
        <v>23</v>
      </c>
      <c r="K18" s="17">
        <f t="shared" si="3"/>
        <v>39</v>
      </c>
      <c r="L18" s="17">
        <f t="shared" si="4"/>
        <v>72.777777777777771</v>
      </c>
    </row>
    <row r="19" spans="2:12" s="9" customFormat="1" ht="23.1" customHeight="1">
      <c r="B19" s="19">
        <v>11</v>
      </c>
      <c r="C19" s="18" t="s">
        <v>370</v>
      </c>
      <c r="D19" s="15">
        <v>6557077</v>
      </c>
      <c r="E19" s="16">
        <v>15</v>
      </c>
      <c r="F19" s="16">
        <v>15</v>
      </c>
      <c r="G19" s="16">
        <v>15</v>
      </c>
      <c r="H19" s="17">
        <f t="shared" si="2"/>
        <v>40</v>
      </c>
      <c r="I19" s="17">
        <v>16</v>
      </c>
      <c r="J19" s="17">
        <v>22</v>
      </c>
      <c r="K19" s="17">
        <f t="shared" si="3"/>
        <v>38</v>
      </c>
      <c r="L19" s="17">
        <f t="shared" si="4"/>
        <v>78</v>
      </c>
    </row>
    <row r="20" spans="2:12" s="9" customFormat="1" ht="23.1" customHeight="1">
      <c r="B20" s="19">
        <v>12</v>
      </c>
      <c r="C20" s="18" t="s">
        <v>392</v>
      </c>
      <c r="D20" s="15">
        <v>7057391</v>
      </c>
      <c r="E20" s="15">
        <v>13</v>
      </c>
      <c r="F20" s="15">
        <v>13</v>
      </c>
      <c r="G20" s="15">
        <v>15</v>
      </c>
      <c r="H20" s="17">
        <f t="shared" si="2"/>
        <v>36.44444444444445</v>
      </c>
      <c r="I20" s="17">
        <v>15</v>
      </c>
      <c r="J20" s="17">
        <v>13</v>
      </c>
      <c r="K20" s="17">
        <f t="shared" si="3"/>
        <v>28</v>
      </c>
      <c r="L20" s="17">
        <f t="shared" si="4"/>
        <v>64.444444444444457</v>
      </c>
    </row>
    <row r="21" spans="2:12" s="9" customFormat="1" ht="23.1" customHeight="1">
      <c r="B21" s="19">
        <v>13</v>
      </c>
      <c r="C21" s="14" t="s">
        <v>394</v>
      </c>
      <c r="D21" s="15">
        <v>5680509</v>
      </c>
      <c r="E21" s="16">
        <v>11</v>
      </c>
      <c r="F21" s="16">
        <v>14</v>
      </c>
      <c r="G21" s="16">
        <v>14</v>
      </c>
      <c r="H21" s="17">
        <f t="shared" si="2"/>
        <v>34.666666666666671</v>
      </c>
      <c r="I21" s="17">
        <v>15</v>
      </c>
      <c r="J21" s="17">
        <v>14</v>
      </c>
      <c r="K21" s="17">
        <f t="shared" si="3"/>
        <v>29</v>
      </c>
      <c r="L21" s="17">
        <f t="shared" si="4"/>
        <v>63.666666666666671</v>
      </c>
    </row>
    <row r="22" spans="2:12" s="9" customFormat="1" ht="23.1" customHeight="1">
      <c r="B22" s="19">
        <v>14</v>
      </c>
      <c r="C22" s="14" t="s">
        <v>385</v>
      </c>
      <c r="D22" s="15">
        <v>7912004</v>
      </c>
      <c r="E22" s="16">
        <v>11</v>
      </c>
      <c r="F22" s="16">
        <v>14</v>
      </c>
      <c r="G22" s="16">
        <v>15</v>
      </c>
      <c r="H22" s="17">
        <f t="shared" si="2"/>
        <v>35.555555555555557</v>
      </c>
      <c r="I22" s="17">
        <v>14</v>
      </c>
      <c r="J22" s="17">
        <v>18</v>
      </c>
      <c r="K22" s="17">
        <f t="shared" si="3"/>
        <v>32</v>
      </c>
      <c r="L22" s="17">
        <f t="shared" si="4"/>
        <v>67.555555555555557</v>
      </c>
    </row>
    <row r="23" spans="2:12" s="9" customFormat="1" ht="23.1" customHeight="1">
      <c r="B23" s="19">
        <v>15</v>
      </c>
      <c r="C23" s="14" t="s">
        <v>393</v>
      </c>
      <c r="D23" s="15">
        <v>5663634</v>
      </c>
      <c r="E23" s="16">
        <v>9</v>
      </c>
      <c r="F23" s="16">
        <v>8</v>
      </c>
      <c r="G23" s="16">
        <v>15</v>
      </c>
      <c r="H23" s="17">
        <f t="shared" si="2"/>
        <v>28.444444444444446</v>
      </c>
      <c r="I23" s="17">
        <v>20</v>
      </c>
      <c r="J23" s="17">
        <v>16</v>
      </c>
      <c r="K23" s="17">
        <f t="shared" si="3"/>
        <v>36</v>
      </c>
      <c r="L23" s="17">
        <f t="shared" si="4"/>
        <v>64.444444444444443</v>
      </c>
    </row>
    <row r="24" spans="2:12" s="9" customFormat="1" ht="23.1" customHeight="1">
      <c r="B24" s="19">
        <v>16</v>
      </c>
      <c r="C24" s="14" t="s">
        <v>384</v>
      </c>
      <c r="D24" s="15">
        <v>5382816</v>
      </c>
      <c r="E24" s="16">
        <v>14</v>
      </c>
      <c r="F24" s="16">
        <v>13</v>
      </c>
      <c r="G24" s="16">
        <v>9</v>
      </c>
      <c r="H24" s="17">
        <f t="shared" si="2"/>
        <v>32</v>
      </c>
      <c r="I24" s="17">
        <v>19</v>
      </c>
      <c r="J24" s="17">
        <v>17</v>
      </c>
      <c r="K24" s="17">
        <f t="shared" si="3"/>
        <v>36</v>
      </c>
      <c r="L24" s="17">
        <f t="shared" si="4"/>
        <v>68</v>
      </c>
    </row>
    <row r="25" spans="2:12" s="9" customFormat="1" ht="23.1" customHeight="1">
      <c r="B25" s="19">
        <v>17</v>
      </c>
      <c r="C25" s="14" t="s">
        <v>376</v>
      </c>
      <c r="D25" s="15">
        <v>6785491</v>
      </c>
      <c r="E25" s="16">
        <v>14</v>
      </c>
      <c r="F25" s="16">
        <v>12</v>
      </c>
      <c r="G25" s="16">
        <v>10</v>
      </c>
      <c r="H25" s="17">
        <f t="shared" si="2"/>
        <v>32</v>
      </c>
      <c r="I25" s="17">
        <v>18</v>
      </c>
      <c r="J25" s="17">
        <v>21</v>
      </c>
      <c r="K25" s="17">
        <f t="shared" si="3"/>
        <v>39</v>
      </c>
      <c r="L25" s="17">
        <f t="shared" si="4"/>
        <v>71</v>
      </c>
    </row>
    <row r="26" spans="2:12" s="9" customFormat="1" ht="23.1" customHeight="1">
      <c r="B26" s="19">
        <v>18</v>
      </c>
      <c r="C26" s="14" t="s">
        <v>378</v>
      </c>
      <c r="D26" s="15">
        <v>5966062</v>
      </c>
      <c r="E26" s="16">
        <v>11</v>
      </c>
      <c r="F26" s="16">
        <v>12</v>
      </c>
      <c r="G26" s="16">
        <v>11</v>
      </c>
      <c r="H26" s="17">
        <f t="shared" si="2"/>
        <v>30.222222222222225</v>
      </c>
      <c r="I26" s="17">
        <v>21</v>
      </c>
      <c r="J26" s="17">
        <v>19</v>
      </c>
      <c r="K26" s="17">
        <f t="shared" si="3"/>
        <v>40</v>
      </c>
      <c r="L26" s="17">
        <f t="shared" si="4"/>
        <v>70.222222222222229</v>
      </c>
    </row>
    <row r="27" spans="2:12" s="9" customFormat="1" ht="23.1" customHeight="1">
      <c r="B27" s="19">
        <v>19</v>
      </c>
      <c r="C27" s="14" t="s">
        <v>391</v>
      </c>
      <c r="D27" s="15">
        <v>7056917</v>
      </c>
      <c r="E27" s="16">
        <v>12</v>
      </c>
      <c r="F27" s="16">
        <v>13</v>
      </c>
      <c r="G27" s="16">
        <v>13</v>
      </c>
      <c r="H27" s="17">
        <f t="shared" si="2"/>
        <v>33.777777777777779</v>
      </c>
      <c r="I27" s="17">
        <v>16</v>
      </c>
      <c r="J27" s="17">
        <v>15</v>
      </c>
      <c r="K27" s="17">
        <f t="shared" si="3"/>
        <v>31</v>
      </c>
      <c r="L27" s="17">
        <f t="shared" si="4"/>
        <v>64.777777777777771</v>
      </c>
    </row>
    <row r="28" spans="2:12" s="9" customFormat="1" ht="23.1" customHeight="1">
      <c r="B28" s="19">
        <v>20</v>
      </c>
      <c r="C28" s="14" t="s">
        <v>386</v>
      </c>
      <c r="D28" s="15">
        <v>5198552</v>
      </c>
      <c r="E28" s="16">
        <v>12</v>
      </c>
      <c r="F28" s="16">
        <v>11</v>
      </c>
      <c r="G28" s="16">
        <v>14</v>
      </c>
      <c r="H28" s="17">
        <f t="shared" si="2"/>
        <v>32.888888888888893</v>
      </c>
      <c r="I28" s="17">
        <v>14</v>
      </c>
      <c r="J28" s="17">
        <v>20</v>
      </c>
      <c r="K28" s="17">
        <f t="shared" si="3"/>
        <v>34</v>
      </c>
      <c r="L28" s="17">
        <f t="shared" si="4"/>
        <v>66.888888888888886</v>
      </c>
    </row>
    <row r="29" spans="2:12" s="9" customFormat="1" ht="23.1" customHeight="1">
      <c r="B29" s="19">
        <v>21</v>
      </c>
      <c r="C29" s="18" t="s">
        <v>390</v>
      </c>
      <c r="D29" s="15">
        <v>6064634</v>
      </c>
      <c r="E29" s="16">
        <v>10</v>
      </c>
      <c r="F29" s="16">
        <v>9</v>
      </c>
      <c r="G29" s="16">
        <v>13</v>
      </c>
      <c r="H29" s="17">
        <f t="shared" si="2"/>
        <v>28.444444444444446</v>
      </c>
      <c r="I29" s="17">
        <v>17</v>
      </c>
      <c r="J29" s="17">
        <v>20</v>
      </c>
      <c r="K29" s="17">
        <f t="shared" si="3"/>
        <v>37</v>
      </c>
      <c r="L29" s="17">
        <f t="shared" si="4"/>
        <v>65.444444444444443</v>
      </c>
    </row>
    <row r="30" spans="2:12" s="9" customFormat="1" ht="23.1" customHeight="1">
      <c r="B30" s="19">
        <v>22</v>
      </c>
      <c r="C30" s="14" t="s">
        <v>373</v>
      </c>
      <c r="D30" s="15">
        <v>5354277</v>
      </c>
      <c r="E30" s="16">
        <v>15</v>
      </c>
      <c r="F30" s="16">
        <v>15</v>
      </c>
      <c r="G30" s="16">
        <v>15</v>
      </c>
      <c r="H30" s="17">
        <f t="shared" si="2"/>
        <v>40</v>
      </c>
      <c r="I30" s="17">
        <v>13</v>
      </c>
      <c r="J30" s="17">
        <v>20</v>
      </c>
      <c r="K30" s="17">
        <f t="shared" si="3"/>
        <v>33</v>
      </c>
      <c r="L30" s="17">
        <f t="shared" si="4"/>
        <v>73</v>
      </c>
    </row>
    <row r="31" spans="2:12" s="9" customFormat="1" ht="23.1" customHeight="1">
      <c r="B31" s="19">
        <v>23</v>
      </c>
      <c r="C31" s="14" t="s">
        <v>382</v>
      </c>
      <c r="D31" s="15">
        <v>5174771</v>
      </c>
      <c r="E31" s="16">
        <v>11</v>
      </c>
      <c r="F31" s="16">
        <v>11</v>
      </c>
      <c r="G31" s="16">
        <v>13</v>
      </c>
      <c r="H31" s="17">
        <f t="shared" si="2"/>
        <v>31.111111111111111</v>
      </c>
      <c r="I31" s="17">
        <v>19</v>
      </c>
      <c r="J31" s="17">
        <v>18</v>
      </c>
      <c r="K31" s="17">
        <f t="shared" si="3"/>
        <v>37</v>
      </c>
      <c r="L31" s="17">
        <f t="shared" si="4"/>
        <v>68.111111111111114</v>
      </c>
    </row>
    <row r="32" spans="2:12" s="9" customFormat="1" ht="23.1" customHeight="1">
      <c r="B32" s="19">
        <v>24</v>
      </c>
      <c r="C32" s="14" t="s">
        <v>396</v>
      </c>
      <c r="D32" s="15">
        <v>5445872</v>
      </c>
      <c r="E32" s="16">
        <v>8</v>
      </c>
      <c r="F32" s="16">
        <v>8</v>
      </c>
      <c r="G32" s="16">
        <v>12</v>
      </c>
      <c r="H32" s="17">
        <f t="shared" si="2"/>
        <v>24.888888888888889</v>
      </c>
      <c r="I32" s="17">
        <v>21</v>
      </c>
      <c r="J32" s="17">
        <v>15</v>
      </c>
      <c r="K32" s="17">
        <f t="shared" si="3"/>
        <v>36</v>
      </c>
      <c r="L32" s="17">
        <f t="shared" si="4"/>
        <v>60.888888888888886</v>
      </c>
    </row>
    <row r="33" spans="2:12" s="9" customFormat="1" ht="23.1" customHeight="1">
      <c r="B33" s="19">
        <v>25</v>
      </c>
      <c r="C33" s="14" t="s">
        <v>380</v>
      </c>
      <c r="D33" s="15">
        <v>5395323</v>
      </c>
      <c r="E33" s="16">
        <v>13</v>
      </c>
      <c r="F33" s="16">
        <v>12</v>
      </c>
      <c r="G33" s="16">
        <v>11</v>
      </c>
      <c r="H33" s="17">
        <f t="shared" si="2"/>
        <v>32</v>
      </c>
      <c r="I33" s="17">
        <v>17</v>
      </c>
      <c r="J33" s="17">
        <v>20</v>
      </c>
      <c r="K33" s="17">
        <f t="shared" si="3"/>
        <v>37</v>
      </c>
      <c r="L33" s="17">
        <f t="shared" si="4"/>
        <v>69</v>
      </c>
    </row>
    <row r="34" spans="2:12" s="9" customFormat="1" ht="23.1" customHeight="1">
      <c r="B34" s="19">
        <v>26</v>
      </c>
      <c r="C34" s="14" t="s">
        <v>395</v>
      </c>
      <c r="D34" s="15">
        <v>5275147</v>
      </c>
      <c r="E34" s="16">
        <v>10</v>
      </c>
      <c r="F34" s="16">
        <v>13</v>
      </c>
      <c r="G34" s="16">
        <v>14</v>
      </c>
      <c r="H34" s="17">
        <f t="shared" si="2"/>
        <v>32.888888888888893</v>
      </c>
      <c r="I34" s="17">
        <v>14</v>
      </c>
      <c r="J34" s="17">
        <v>15</v>
      </c>
      <c r="K34" s="17">
        <f t="shared" si="3"/>
        <v>29</v>
      </c>
      <c r="L34" s="17">
        <f t="shared" si="4"/>
        <v>61.888888888888893</v>
      </c>
    </row>
    <row r="35" spans="2:12" s="9" customFormat="1" ht="23.1" customHeight="1">
      <c r="B35" s="19">
        <v>27</v>
      </c>
      <c r="C35" s="14" t="s">
        <v>389</v>
      </c>
      <c r="D35" s="15">
        <v>5389077</v>
      </c>
      <c r="E35" s="16">
        <v>15</v>
      </c>
      <c r="F35" s="16">
        <v>15</v>
      </c>
      <c r="G35" s="16">
        <v>15</v>
      </c>
      <c r="H35" s="17">
        <f t="shared" si="2"/>
        <v>40</v>
      </c>
      <c r="I35" s="17">
        <v>9</v>
      </c>
      <c r="J35" s="17">
        <v>17</v>
      </c>
      <c r="K35" s="17">
        <f t="shared" si="3"/>
        <v>26</v>
      </c>
      <c r="L35" s="17">
        <f t="shared" si="4"/>
        <v>66</v>
      </c>
    </row>
    <row r="36" spans="2:12" s="9" customFormat="1" ht="23.1" customHeight="1">
      <c r="B36" s="19">
        <v>28</v>
      </c>
      <c r="C36" s="14" t="s">
        <v>369</v>
      </c>
      <c r="D36" s="15">
        <v>5376278</v>
      </c>
      <c r="E36" s="16">
        <v>15</v>
      </c>
      <c r="F36" s="16">
        <v>15</v>
      </c>
      <c r="G36" s="16">
        <v>15</v>
      </c>
      <c r="H36" s="17">
        <f t="shared" si="2"/>
        <v>40</v>
      </c>
      <c r="I36" s="17">
        <v>21</v>
      </c>
      <c r="J36" s="17">
        <v>20</v>
      </c>
      <c r="K36" s="17">
        <f t="shared" si="3"/>
        <v>41</v>
      </c>
      <c r="L36" s="17">
        <f t="shared" si="4"/>
        <v>81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2.85546875" customWidth="1"/>
    <col min="2" max="2" width="2.7109375" bestFit="1" customWidth="1"/>
    <col min="3" max="3" width="46.7109375" customWidth="1"/>
    <col min="4" max="4" width="10.7109375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23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6" t="s">
        <v>10</v>
      </c>
      <c r="F7" s="6" t="s">
        <v>11</v>
      </c>
      <c r="G7" s="6" t="s">
        <v>12</v>
      </c>
      <c r="H7" s="29"/>
      <c r="I7" s="5" t="s">
        <v>13</v>
      </c>
      <c r="J7" s="5" t="s">
        <v>14</v>
      </c>
      <c r="K7" s="29"/>
      <c r="L7" s="29"/>
    </row>
    <row r="8" spans="2:12">
      <c r="B8" s="30" t="s">
        <v>18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20" customFormat="1" ht="23.1" customHeight="1">
      <c r="B9" s="19">
        <v>1</v>
      </c>
      <c r="C9" s="14" t="s">
        <v>421</v>
      </c>
      <c r="D9" s="15">
        <v>5439360</v>
      </c>
      <c r="E9" s="16">
        <v>9</v>
      </c>
      <c r="F9" s="16">
        <v>12</v>
      </c>
      <c r="G9" s="16">
        <v>12</v>
      </c>
      <c r="H9" s="17">
        <f t="shared" ref="H9:H36" si="2">SUM(E9:G9)*100/45*0.4</f>
        <v>29.333333333333332</v>
      </c>
      <c r="I9" s="17">
        <v>10</v>
      </c>
      <c r="J9" s="17">
        <v>16</v>
      </c>
      <c r="K9" s="17">
        <f t="shared" ref="K9:K36" si="3">SUM(I9:J9)</f>
        <v>26</v>
      </c>
      <c r="L9" s="17">
        <f t="shared" ref="L9:L36" si="4">H9+K9</f>
        <v>55.333333333333329</v>
      </c>
    </row>
    <row r="10" spans="2:12" s="20" customFormat="1" ht="23.1" customHeight="1">
      <c r="B10" s="19">
        <v>2</v>
      </c>
      <c r="C10" s="14" t="s">
        <v>405</v>
      </c>
      <c r="D10" s="15">
        <v>6326421</v>
      </c>
      <c r="E10" s="16">
        <v>13</v>
      </c>
      <c r="F10" s="16">
        <v>14</v>
      </c>
      <c r="G10" s="16">
        <v>14</v>
      </c>
      <c r="H10" s="17">
        <f t="shared" si="2"/>
        <v>36.44444444444445</v>
      </c>
      <c r="I10" s="17">
        <v>12</v>
      </c>
      <c r="J10" s="17">
        <v>10</v>
      </c>
      <c r="K10" s="17">
        <f t="shared" si="3"/>
        <v>22</v>
      </c>
      <c r="L10" s="17">
        <f t="shared" si="4"/>
        <v>58.44444444444445</v>
      </c>
    </row>
    <row r="11" spans="2:12" s="20" customFormat="1" ht="23.1" customHeight="1">
      <c r="B11" s="19">
        <v>3</v>
      </c>
      <c r="C11" s="14" t="s">
        <v>399</v>
      </c>
      <c r="D11" s="15">
        <v>5162628</v>
      </c>
      <c r="E11" s="16">
        <v>14</v>
      </c>
      <c r="F11" s="16">
        <v>15</v>
      </c>
      <c r="G11" s="16">
        <v>14</v>
      </c>
      <c r="H11" s="17">
        <f t="shared" si="2"/>
        <v>38.222222222222221</v>
      </c>
      <c r="I11" s="17">
        <v>8</v>
      </c>
      <c r="J11" s="17">
        <v>14</v>
      </c>
      <c r="K11" s="17">
        <f t="shared" si="3"/>
        <v>22</v>
      </c>
      <c r="L11" s="17">
        <f t="shared" si="4"/>
        <v>60.222222222222221</v>
      </c>
    </row>
    <row r="12" spans="2:12" s="20" customFormat="1" ht="23.1" customHeight="1">
      <c r="B12" s="19">
        <v>4</v>
      </c>
      <c r="C12" s="14" t="s">
        <v>407</v>
      </c>
      <c r="D12" s="15">
        <v>5265406</v>
      </c>
      <c r="E12" s="15">
        <v>9</v>
      </c>
      <c r="F12" s="15">
        <v>10</v>
      </c>
      <c r="G12" s="15">
        <v>14</v>
      </c>
      <c r="H12" s="17">
        <f t="shared" si="2"/>
        <v>29.333333333333332</v>
      </c>
      <c r="I12" s="17">
        <v>13</v>
      </c>
      <c r="J12" s="17">
        <v>16</v>
      </c>
      <c r="K12" s="17">
        <f t="shared" si="3"/>
        <v>29</v>
      </c>
      <c r="L12" s="17">
        <f t="shared" si="4"/>
        <v>58.333333333333329</v>
      </c>
    </row>
    <row r="13" spans="2:12" s="20" customFormat="1" ht="23.1" customHeight="1">
      <c r="B13" s="19">
        <v>5</v>
      </c>
      <c r="C13" s="14" t="s">
        <v>411</v>
      </c>
      <c r="D13" s="15">
        <v>5020625</v>
      </c>
      <c r="E13" s="15">
        <v>10</v>
      </c>
      <c r="F13" s="15">
        <v>11</v>
      </c>
      <c r="G13" s="15">
        <v>8</v>
      </c>
      <c r="H13" s="17">
        <f t="shared" si="2"/>
        <v>25.777777777777779</v>
      </c>
      <c r="I13" s="17">
        <v>16</v>
      </c>
      <c r="J13" s="17">
        <v>16</v>
      </c>
      <c r="K13" s="17">
        <f t="shared" si="3"/>
        <v>32</v>
      </c>
      <c r="L13" s="17">
        <f t="shared" si="4"/>
        <v>57.777777777777779</v>
      </c>
    </row>
    <row r="14" spans="2:12" s="20" customFormat="1" ht="23.1" customHeight="1">
      <c r="B14" s="19">
        <v>6</v>
      </c>
      <c r="C14" s="14" t="s">
        <v>418</v>
      </c>
      <c r="D14" s="15">
        <v>7773043</v>
      </c>
      <c r="E14" s="16">
        <v>14</v>
      </c>
      <c r="F14" s="16">
        <v>12</v>
      </c>
      <c r="G14" s="16">
        <v>12</v>
      </c>
      <c r="H14" s="17">
        <f t="shared" si="2"/>
        <v>33.777777777777779</v>
      </c>
      <c r="I14" s="17">
        <v>9</v>
      </c>
      <c r="J14" s="17">
        <v>14</v>
      </c>
      <c r="K14" s="17">
        <f t="shared" si="3"/>
        <v>23</v>
      </c>
      <c r="L14" s="17">
        <f t="shared" si="4"/>
        <v>56.777777777777779</v>
      </c>
    </row>
    <row r="15" spans="2:12" s="20" customFormat="1" ht="23.1" customHeight="1">
      <c r="B15" s="19">
        <v>7</v>
      </c>
      <c r="C15" s="18" t="s">
        <v>413</v>
      </c>
      <c r="D15" s="15">
        <v>6036331</v>
      </c>
      <c r="E15" s="16">
        <v>10</v>
      </c>
      <c r="F15" s="16">
        <v>10</v>
      </c>
      <c r="G15" s="16">
        <v>12</v>
      </c>
      <c r="H15" s="17">
        <f t="shared" si="2"/>
        <v>28.444444444444446</v>
      </c>
      <c r="I15" s="17">
        <v>12</v>
      </c>
      <c r="J15" s="17">
        <v>17</v>
      </c>
      <c r="K15" s="17">
        <f t="shared" si="3"/>
        <v>29</v>
      </c>
      <c r="L15" s="17">
        <f t="shared" si="4"/>
        <v>57.444444444444443</v>
      </c>
    </row>
    <row r="16" spans="2:12" s="20" customFormat="1" ht="23.1" customHeight="1">
      <c r="B16" s="19">
        <v>8</v>
      </c>
      <c r="C16" s="14" t="s">
        <v>420</v>
      </c>
      <c r="D16" s="15">
        <v>5302044</v>
      </c>
      <c r="E16" s="16">
        <v>8</v>
      </c>
      <c r="F16" s="16">
        <v>11</v>
      </c>
      <c r="G16" s="16">
        <v>11</v>
      </c>
      <c r="H16" s="17">
        <f t="shared" si="2"/>
        <v>26.666666666666671</v>
      </c>
      <c r="I16" s="17">
        <v>13</v>
      </c>
      <c r="J16" s="17">
        <v>16</v>
      </c>
      <c r="K16" s="17">
        <f t="shared" si="3"/>
        <v>29</v>
      </c>
      <c r="L16" s="17">
        <f t="shared" si="4"/>
        <v>55.666666666666671</v>
      </c>
    </row>
    <row r="17" spans="2:12" s="20" customFormat="1" ht="23.1" customHeight="1">
      <c r="B17" s="19">
        <v>9</v>
      </c>
      <c r="C17" s="14" t="s">
        <v>419</v>
      </c>
      <c r="D17" s="15">
        <v>6033031</v>
      </c>
      <c r="E17" s="15">
        <v>11</v>
      </c>
      <c r="F17" s="16">
        <v>12</v>
      </c>
      <c r="G17" s="16">
        <v>11</v>
      </c>
      <c r="H17" s="17">
        <f t="shared" si="2"/>
        <v>30.222222222222225</v>
      </c>
      <c r="I17" s="17">
        <v>11</v>
      </c>
      <c r="J17" s="17">
        <v>15</v>
      </c>
      <c r="K17" s="17">
        <f t="shared" si="3"/>
        <v>26</v>
      </c>
      <c r="L17" s="17">
        <f t="shared" si="4"/>
        <v>56.222222222222229</v>
      </c>
    </row>
    <row r="18" spans="2:12" s="20" customFormat="1" ht="23.1" customHeight="1">
      <c r="B18" s="19">
        <v>10</v>
      </c>
      <c r="C18" s="18" t="s">
        <v>397</v>
      </c>
      <c r="D18" s="15">
        <v>6075392</v>
      </c>
      <c r="E18" s="15">
        <v>12</v>
      </c>
      <c r="F18" s="15">
        <v>10</v>
      </c>
      <c r="G18" s="15">
        <v>10</v>
      </c>
      <c r="H18" s="17">
        <f t="shared" si="2"/>
        <v>28.444444444444446</v>
      </c>
      <c r="I18" s="17">
        <v>18</v>
      </c>
      <c r="J18" s="17">
        <v>14</v>
      </c>
      <c r="K18" s="17">
        <f t="shared" si="3"/>
        <v>32</v>
      </c>
      <c r="L18" s="17">
        <f t="shared" si="4"/>
        <v>60.444444444444443</v>
      </c>
    </row>
    <row r="19" spans="2:12" s="20" customFormat="1" ht="23.1" customHeight="1">
      <c r="B19" s="19">
        <v>11</v>
      </c>
      <c r="C19" s="14" t="s">
        <v>408</v>
      </c>
      <c r="D19" s="15">
        <v>7492596</v>
      </c>
      <c r="E19" s="16">
        <v>11</v>
      </c>
      <c r="F19" s="16">
        <v>10</v>
      </c>
      <c r="G19" s="16">
        <v>13</v>
      </c>
      <c r="H19" s="17">
        <f t="shared" si="2"/>
        <v>30.222222222222225</v>
      </c>
      <c r="I19" s="17">
        <v>12</v>
      </c>
      <c r="J19" s="17">
        <v>16</v>
      </c>
      <c r="K19" s="17">
        <f t="shared" si="3"/>
        <v>28</v>
      </c>
      <c r="L19" s="17">
        <f t="shared" si="4"/>
        <v>58.222222222222229</v>
      </c>
    </row>
    <row r="20" spans="2:12" s="20" customFormat="1" ht="23.1" customHeight="1">
      <c r="B20" s="19">
        <v>12</v>
      </c>
      <c r="C20" s="14" t="s">
        <v>403</v>
      </c>
      <c r="D20" s="15">
        <v>5871031</v>
      </c>
      <c r="E20" s="16">
        <v>10</v>
      </c>
      <c r="F20" s="16">
        <v>10</v>
      </c>
      <c r="G20" s="16">
        <v>12</v>
      </c>
      <c r="H20" s="17">
        <f t="shared" si="2"/>
        <v>28.444444444444446</v>
      </c>
      <c r="I20" s="17">
        <v>13</v>
      </c>
      <c r="J20" s="17">
        <v>18</v>
      </c>
      <c r="K20" s="17">
        <f t="shared" si="3"/>
        <v>31</v>
      </c>
      <c r="L20" s="17">
        <f t="shared" si="4"/>
        <v>59.444444444444443</v>
      </c>
    </row>
    <row r="21" spans="2:12" s="20" customFormat="1" ht="23.1" customHeight="1">
      <c r="B21" s="19">
        <v>13</v>
      </c>
      <c r="C21" s="14" t="s">
        <v>416</v>
      </c>
      <c r="D21" s="15">
        <v>5521226</v>
      </c>
      <c r="E21" s="16">
        <v>11</v>
      </c>
      <c r="F21" s="16">
        <v>9</v>
      </c>
      <c r="G21" s="16">
        <v>14</v>
      </c>
      <c r="H21" s="17">
        <f t="shared" si="2"/>
        <v>30.222222222222225</v>
      </c>
      <c r="I21" s="17">
        <v>14</v>
      </c>
      <c r="J21" s="17">
        <v>13</v>
      </c>
      <c r="K21" s="17">
        <f t="shared" si="3"/>
        <v>27</v>
      </c>
      <c r="L21" s="17">
        <f t="shared" si="4"/>
        <v>57.222222222222229</v>
      </c>
    </row>
    <row r="22" spans="2:12" s="20" customFormat="1" ht="23.1" customHeight="1">
      <c r="B22" s="19">
        <v>14</v>
      </c>
      <c r="C22" s="14" t="s">
        <v>423</v>
      </c>
      <c r="D22" s="15">
        <v>5674615</v>
      </c>
      <c r="E22" s="16">
        <v>7</v>
      </c>
      <c r="F22" s="16">
        <v>11</v>
      </c>
      <c r="G22" s="16">
        <v>10</v>
      </c>
      <c r="H22" s="17">
        <f t="shared" si="2"/>
        <v>24.888888888888889</v>
      </c>
      <c r="I22" s="17">
        <v>16</v>
      </c>
      <c r="J22" s="17">
        <v>14</v>
      </c>
      <c r="K22" s="17">
        <f t="shared" si="3"/>
        <v>30</v>
      </c>
      <c r="L22" s="17">
        <f t="shared" si="4"/>
        <v>54.888888888888886</v>
      </c>
    </row>
    <row r="23" spans="2:12" s="20" customFormat="1" ht="23.1" customHeight="1">
      <c r="B23" s="19">
        <v>15</v>
      </c>
      <c r="C23" s="14" t="s">
        <v>406</v>
      </c>
      <c r="D23" s="15">
        <v>5585721</v>
      </c>
      <c r="E23" s="16">
        <v>7</v>
      </c>
      <c r="F23" s="16">
        <v>6</v>
      </c>
      <c r="G23" s="16">
        <v>10</v>
      </c>
      <c r="H23" s="17">
        <f t="shared" si="2"/>
        <v>20.444444444444446</v>
      </c>
      <c r="I23" s="17">
        <v>18</v>
      </c>
      <c r="J23" s="17">
        <v>20</v>
      </c>
      <c r="K23" s="17">
        <f t="shared" si="3"/>
        <v>38</v>
      </c>
      <c r="L23" s="17">
        <f t="shared" si="4"/>
        <v>58.444444444444443</v>
      </c>
    </row>
    <row r="24" spans="2:12" s="20" customFormat="1" ht="23.1" customHeight="1">
      <c r="B24" s="19">
        <v>16</v>
      </c>
      <c r="C24" s="14" t="s">
        <v>400</v>
      </c>
      <c r="D24" s="15">
        <v>6585401</v>
      </c>
      <c r="E24" s="16">
        <v>12</v>
      </c>
      <c r="F24" s="16">
        <v>14</v>
      </c>
      <c r="G24" s="16">
        <v>13</v>
      </c>
      <c r="H24" s="17">
        <f t="shared" si="2"/>
        <v>34.666666666666671</v>
      </c>
      <c r="I24" s="17">
        <v>13</v>
      </c>
      <c r="J24" s="17">
        <v>12</v>
      </c>
      <c r="K24" s="17">
        <f t="shared" si="3"/>
        <v>25</v>
      </c>
      <c r="L24" s="17">
        <f t="shared" si="4"/>
        <v>59.666666666666671</v>
      </c>
    </row>
    <row r="25" spans="2:12" s="20" customFormat="1" ht="23.1" customHeight="1">
      <c r="B25" s="19">
        <v>17</v>
      </c>
      <c r="C25" s="14" t="s">
        <v>417</v>
      </c>
      <c r="D25" s="15">
        <v>5556026</v>
      </c>
      <c r="E25" s="16">
        <v>13</v>
      </c>
      <c r="F25" s="16">
        <v>11</v>
      </c>
      <c r="G25" s="16">
        <v>10</v>
      </c>
      <c r="H25" s="17">
        <f t="shared" si="2"/>
        <v>30.222222222222225</v>
      </c>
      <c r="I25" s="17">
        <v>9</v>
      </c>
      <c r="J25" s="17">
        <v>18</v>
      </c>
      <c r="K25" s="17">
        <f t="shared" si="3"/>
        <v>27</v>
      </c>
      <c r="L25" s="17">
        <f t="shared" si="4"/>
        <v>57.222222222222229</v>
      </c>
    </row>
    <row r="26" spans="2:12" s="20" customFormat="1" ht="23.1" customHeight="1">
      <c r="B26" s="19">
        <v>18</v>
      </c>
      <c r="C26" s="14" t="s">
        <v>398</v>
      </c>
      <c r="D26" s="15">
        <v>7000704</v>
      </c>
      <c r="E26" s="16">
        <v>10</v>
      </c>
      <c r="F26" s="16">
        <v>13</v>
      </c>
      <c r="G26" s="16">
        <v>11</v>
      </c>
      <c r="H26" s="17">
        <f t="shared" si="2"/>
        <v>30.222222222222225</v>
      </c>
      <c r="I26" s="17">
        <v>14</v>
      </c>
      <c r="J26" s="17">
        <v>16</v>
      </c>
      <c r="K26" s="17">
        <f t="shared" si="3"/>
        <v>30</v>
      </c>
      <c r="L26" s="17">
        <f t="shared" si="4"/>
        <v>60.222222222222229</v>
      </c>
    </row>
    <row r="27" spans="2:12" s="20" customFormat="1" ht="23.1" customHeight="1">
      <c r="B27" s="19">
        <v>19</v>
      </c>
      <c r="C27" s="14" t="s">
        <v>414</v>
      </c>
      <c r="D27" s="15">
        <v>6039820</v>
      </c>
      <c r="E27" s="16">
        <v>11</v>
      </c>
      <c r="F27" s="16">
        <v>11</v>
      </c>
      <c r="G27" s="16">
        <v>10</v>
      </c>
      <c r="H27" s="17">
        <f t="shared" si="2"/>
        <v>28.444444444444446</v>
      </c>
      <c r="I27" s="17">
        <v>13</v>
      </c>
      <c r="J27" s="17">
        <v>16</v>
      </c>
      <c r="K27" s="17">
        <f t="shared" si="3"/>
        <v>29</v>
      </c>
      <c r="L27" s="17">
        <f t="shared" si="4"/>
        <v>57.444444444444443</v>
      </c>
    </row>
    <row r="28" spans="2:12" s="20" customFormat="1" ht="23.1" customHeight="1">
      <c r="B28" s="19">
        <v>20</v>
      </c>
      <c r="C28" s="14" t="s">
        <v>401</v>
      </c>
      <c r="D28" s="15">
        <v>7084662</v>
      </c>
      <c r="E28" s="16">
        <v>9</v>
      </c>
      <c r="F28" s="16">
        <v>9</v>
      </c>
      <c r="G28" s="16">
        <v>12</v>
      </c>
      <c r="H28" s="17">
        <f t="shared" si="2"/>
        <v>26.666666666666671</v>
      </c>
      <c r="I28" s="17">
        <v>15</v>
      </c>
      <c r="J28" s="17">
        <v>18</v>
      </c>
      <c r="K28" s="17">
        <f t="shared" si="3"/>
        <v>33</v>
      </c>
      <c r="L28" s="17">
        <f t="shared" si="4"/>
        <v>59.666666666666671</v>
      </c>
    </row>
    <row r="29" spans="2:12" s="20" customFormat="1" ht="23.1" customHeight="1">
      <c r="B29" s="19">
        <v>21</v>
      </c>
      <c r="C29" s="14" t="s">
        <v>404</v>
      </c>
      <c r="D29" s="15">
        <v>6252781</v>
      </c>
      <c r="E29" s="16">
        <v>8</v>
      </c>
      <c r="F29" s="16">
        <v>9</v>
      </c>
      <c r="G29" s="16">
        <v>12</v>
      </c>
      <c r="H29" s="17">
        <f t="shared" si="2"/>
        <v>25.777777777777779</v>
      </c>
      <c r="I29" s="17">
        <v>19</v>
      </c>
      <c r="J29" s="17">
        <v>14</v>
      </c>
      <c r="K29" s="17">
        <f t="shared" si="3"/>
        <v>33</v>
      </c>
      <c r="L29" s="17">
        <f t="shared" si="4"/>
        <v>58.777777777777779</v>
      </c>
    </row>
    <row r="30" spans="2:12" s="20" customFormat="1" ht="23.1" customHeight="1">
      <c r="B30" s="19">
        <v>22</v>
      </c>
      <c r="C30" s="14" t="s">
        <v>402</v>
      </c>
      <c r="D30" s="15">
        <v>5639594</v>
      </c>
      <c r="E30" s="16">
        <v>13</v>
      </c>
      <c r="F30" s="16">
        <v>12</v>
      </c>
      <c r="G30" s="16">
        <v>14</v>
      </c>
      <c r="H30" s="17">
        <f t="shared" si="2"/>
        <v>34.666666666666671</v>
      </c>
      <c r="I30" s="17">
        <v>10</v>
      </c>
      <c r="J30" s="17">
        <v>15</v>
      </c>
      <c r="K30" s="17">
        <f t="shared" si="3"/>
        <v>25</v>
      </c>
      <c r="L30" s="17">
        <f t="shared" si="4"/>
        <v>59.666666666666671</v>
      </c>
    </row>
    <row r="31" spans="2:12" s="20" customFormat="1" ht="23.1" customHeight="1">
      <c r="B31" s="19">
        <v>23</v>
      </c>
      <c r="C31" s="14" t="s">
        <v>409</v>
      </c>
      <c r="D31" s="15">
        <v>5292989</v>
      </c>
      <c r="E31" s="16">
        <v>10</v>
      </c>
      <c r="F31" s="16">
        <v>7</v>
      </c>
      <c r="G31" s="16">
        <v>8</v>
      </c>
      <c r="H31" s="17">
        <f t="shared" si="2"/>
        <v>22.222222222222225</v>
      </c>
      <c r="I31" s="17">
        <v>19</v>
      </c>
      <c r="J31" s="17">
        <v>17</v>
      </c>
      <c r="K31" s="17">
        <f t="shared" si="3"/>
        <v>36</v>
      </c>
      <c r="L31" s="17">
        <f t="shared" si="4"/>
        <v>58.222222222222229</v>
      </c>
    </row>
    <row r="32" spans="2:12" s="20" customFormat="1" ht="23.1" customHeight="1">
      <c r="B32" s="19">
        <v>24</v>
      </c>
      <c r="C32" s="14" t="s">
        <v>424</v>
      </c>
      <c r="D32" s="15">
        <v>5143401</v>
      </c>
      <c r="E32" s="16">
        <v>9</v>
      </c>
      <c r="F32" s="16">
        <v>9</v>
      </c>
      <c r="G32" s="16">
        <v>10</v>
      </c>
      <c r="H32" s="17">
        <f t="shared" si="2"/>
        <v>24.888888888888889</v>
      </c>
      <c r="I32" s="17">
        <v>18</v>
      </c>
      <c r="J32" s="17">
        <v>12</v>
      </c>
      <c r="K32" s="17">
        <f t="shared" si="3"/>
        <v>30</v>
      </c>
      <c r="L32" s="17">
        <f t="shared" si="4"/>
        <v>54.888888888888886</v>
      </c>
    </row>
    <row r="33" spans="2:12" s="20" customFormat="1" ht="23.1" customHeight="1">
      <c r="B33" s="19">
        <v>25</v>
      </c>
      <c r="C33" s="14" t="s">
        <v>415</v>
      </c>
      <c r="D33" s="15">
        <v>7965335</v>
      </c>
      <c r="E33" s="16">
        <v>10</v>
      </c>
      <c r="F33" s="16">
        <v>11</v>
      </c>
      <c r="G33" s="16">
        <v>12</v>
      </c>
      <c r="H33" s="17">
        <f t="shared" si="2"/>
        <v>29.333333333333332</v>
      </c>
      <c r="I33" s="17">
        <v>9</v>
      </c>
      <c r="J33" s="17">
        <v>19</v>
      </c>
      <c r="K33" s="17">
        <f t="shared" si="3"/>
        <v>28</v>
      </c>
      <c r="L33" s="17">
        <f t="shared" si="4"/>
        <v>57.333333333333329</v>
      </c>
    </row>
    <row r="34" spans="2:12" s="20" customFormat="1" ht="23.1" customHeight="1">
      <c r="B34" s="19">
        <v>26</v>
      </c>
      <c r="C34" s="14" t="s">
        <v>412</v>
      </c>
      <c r="D34" s="15">
        <v>7187639</v>
      </c>
      <c r="E34" s="16">
        <v>13</v>
      </c>
      <c r="F34" s="16">
        <v>13</v>
      </c>
      <c r="G34" s="16">
        <v>12</v>
      </c>
      <c r="H34" s="17">
        <f t="shared" si="2"/>
        <v>33.777777777777779</v>
      </c>
      <c r="I34" s="17">
        <v>10</v>
      </c>
      <c r="J34" s="17">
        <v>14</v>
      </c>
      <c r="K34" s="17">
        <f t="shared" si="3"/>
        <v>24</v>
      </c>
      <c r="L34" s="17">
        <f t="shared" si="4"/>
        <v>57.777777777777779</v>
      </c>
    </row>
    <row r="35" spans="2:12" s="20" customFormat="1" ht="23.1" customHeight="1">
      <c r="B35" s="19">
        <v>27</v>
      </c>
      <c r="C35" s="14" t="s">
        <v>410</v>
      </c>
      <c r="D35" s="15">
        <v>5289803</v>
      </c>
      <c r="E35" s="16">
        <v>10</v>
      </c>
      <c r="F35" s="16">
        <v>12</v>
      </c>
      <c r="G35" s="16">
        <v>12</v>
      </c>
      <c r="H35" s="17">
        <f t="shared" si="2"/>
        <v>30.222222222222225</v>
      </c>
      <c r="I35" s="17">
        <v>14</v>
      </c>
      <c r="J35" s="17">
        <v>14</v>
      </c>
      <c r="K35" s="17">
        <f t="shared" si="3"/>
        <v>28</v>
      </c>
      <c r="L35" s="17">
        <f t="shared" si="4"/>
        <v>58.222222222222229</v>
      </c>
    </row>
    <row r="36" spans="2:12" s="20" customFormat="1" ht="23.1" customHeight="1">
      <c r="B36" s="19">
        <v>28</v>
      </c>
      <c r="C36" s="14" t="s">
        <v>422</v>
      </c>
      <c r="D36" s="15">
        <v>5573598</v>
      </c>
      <c r="E36" s="16">
        <v>13</v>
      </c>
      <c r="F36" s="16">
        <v>11</v>
      </c>
      <c r="G36" s="16">
        <v>13</v>
      </c>
      <c r="H36" s="17">
        <f t="shared" si="2"/>
        <v>32.888888888888893</v>
      </c>
      <c r="I36" s="17">
        <v>13</v>
      </c>
      <c r="J36" s="17">
        <v>9</v>
      </c>
      <c r="K36" s="17">
        <f t="shared" si="3"/>
        <v>22</v>
      </c>
      <c r="L36" s="17">
        <f t="shared" si="4"/>
        <v>54.888888888888893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3.5703125" customWidth="1"/>
    <col min="2" max="2" width="3.42578125" customWidth="1"/>
    <col min="3" max="3" width="45.85546875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42" t="s">
        <v>22</v>
      </c>
      <c r="C5" s="43"/>
      <c r="D5" s="43"/>
      <c r="E5" s="43"/>
      <c r="F5" s="43"/>
      <c r="G5" s="43"/>
      <c r="H5" s="43"/>
      <c r="I5" s="43"/>
      <c r="J5" s="43"/>
      <c r="K5" s="43"/>
      <c r="L5" s="44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29"/>
    </row>
    <row r="8" spans="2:12">
      <c r="B8" s="30" t="s">
        <v>31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20" customFormat="1" ht="23.1" customHeight="1">
      <c r="B9" s="19">
        <v>1</v>
      </c>
      <c r="C9" s="14" t="s">
        <v>452</v>
      </c>
      <c r="D9" s="15">
        <v>6199980</v>
      </c>
      <c r="E9" s="16">
        <v>9</v>
      </c>
      <c r="F9" s="16">
        <v>9</v>
      </c>
      <c r="G9" s="16">
        <v>10</v>
      </c>
      <c r="H9" s="17">
        <f t="shared" ref="H9:H36" si="2">SUM(E9:G9)*100/45*0.4</f>
        <v>24.888888888888889</v>
      </c>
      <c r="I9" s="17">
        <v>14</v>
      </c>
      <c r="J9" s="17">
        <v>18</v>
      </c>
      <c r="K9" s="17">
        <f t="shared" ref="K9:K36" si="3">SUM(I9:J9)</f>
        <v>32</v>
      </c>
      <c r="L9" s="17">
        <f t="shared" ref="L9:L36" si="4">H9+K9</f>
        <v>56.888888888888886</v>
      </c>
    </row>
    <row r="10" spans="2:12" s="20" customFormat="1" ht="23.1" customHeight="1">
      <c r="B10" s="19">
        <v>2</v>
      </c>
      <c r="C10" s="14" t="s">
        <v>426</v>
      </c>
      <c r="D10" s="15">
        <v>6196996</v>
      </c>
      <c r="E10" s="16">
        <v>12</v>
      </c>
      <c r="F10" s="16">
        <v>14</v>
      </c>
      <c r="G10" s="16">
        <v>11</v>
      </c>
      <c r="H10" s="17">
        <f t="shared" si="2"/>
        <v>32.888888888888893</v>
      </c>
      <c r="I10" s="17">
        <v>21</v>
      </c>
      <c r="J10" s="17">
        <v>19</v>
      </c>
      <c r="K10" s="17">
        <f t="shared" si="3"/>
        <v>40</v>
      </c>
      <c r="L10" s="17">
        <f t="shared" si="4"/>
        <v>72.888888888888886</v>
      </c>
    </row>
    <row r="11" spans="2:12" s="20" customFormat="1" ht="23.1" customHeight="1">
      <c r="B11" s="19">
        <v>3</v>
      </c>
      <c r="C11" s="14" t="s">
        <v>451</v>
      </c>
      <c r="D11" s="15">
        <v>7132750</v>
      </c>
      <c r="E11" s="16">
        <v>14</v>
      </c>
      <c r="F11" s="16">
        <v>13</v>
      </c>
      <c r="G11" s="16">
        <v>15</v>
      </c>
      <c r="H11" s="17">
        <f t="shared" si="2"/>
        <v>37.333333333333336</v>
      </c>
      <c r="I11" s="17">
        <v>6</v>
      </c>
      <c r="J11" s="17">
        <v>14</v>
      </c>
      <c r="K11" s="17">
        <f t="shared" si="3"/>
        <v>20</v>
      </c>
      <c r="L11" s="17">
        <f t="shared" si="4"/>
        <v>57.333333333333336</v>
      </c>
    </row>
    <row r="12" spans="2:12" s="20" customFormat="1" ht="23.1" customHeight="1">
      <c r="B12" s="19">
        <v>4</v>
      </c>
      <c r="C12" s="14" t="s">
        <v>432</v>
      </c>
      <c r="D12" s="15">
        <v>6099753</v>
      </c>
      <c r="E12" s="16">
        <v>10</v>
      </c>
      <c r="F12" s="16">
        <v>13</v>
      </c>
      <c r="G12" s="16">
        <v>12</v>
      </c>
      <c r="H12" s="17">
        <f t="shared" si="2"/>
        <v>31.111111111111111</v>
      </c>
      <c r="I12" s="17">
        <v>15</v>
      </c>
      <c r="J12" s="17">
        <v>20</v>
      </c>
      <c r="K12" s="17">
        <f t="shared" si="3"/>
        <v>35</v>
      </c>
      <c r="L12" s="17">
        <f t="shared" si="4"/>
        <v>66.111111111111114</v>
      </c>
    </row>
    <row r="13" spans="2:12" s="20" customFormat="1" ht="23.1" customHeight="1">
      <c r="B13" s="19">
        <v>5</v>
      </c>
      <c r="C13" s="14" t="s">
        <v>448</v>
      </c>
      <c r="D13" s="15">
        <v>6652513</v>
      </c>
      <c r="E13" s="16">
        <v>10</v>
      </c>
      <c r="F13" s="16">
        <v>9</v>
      </c>
      <c r="G13" s="16">
        <v>10</v>
      </c>
      <c r="H13" s="17">
        <f t="shared" si="2"/>
        <v>25.777777777777779</v>
      </c>
      <c r="I13" s="17">
        <v>21</v>
      </c>
      <c r="J13" s="17">
        <v>12</v>
      </c>
      <c r="K13" s="17">
        <f t="shared" si="3"/>
        <v>33</v>
      </c>
      <c r="L13" s="17">
        <f t="shared" si="4"/>
        <v>58.777777777777779</v>
      </c>
    </row>
    <row r="14" spans="2:12" s="20" customFormat="1" ht="23.1" customHeight="1">
      <c r="B14" s="19">
        <v>6</v>
      </c>
      <c r="C14" s="14" t="s">
        <v>428</v>
      </c>
      <c r="D14" s="15">
        <v>7081462</v>
      </c>
      <c r="E14" s="16">
        <v>12</v>
      </c>
      <c r="F14" s="16">
        <v>8</v>
      </c>
      <c r="G14" s="16">
        <v>13</v>
      </c>
      <c r="H14" s="17">
        <f t="shared" si="2"/>
        <v>29.333333333333332</v>
      </c>
      <c r="I14" s="17">
        <v>17</v>
      </c>
      <c r="J14" s="17">
        <v>23</v>
      </c>
      <c r="K14" s="17">
        <f t="shared" si="3"/>
        <v>40</v>
      </c>
      <c r="L14" s="17">
        <f t="shared" si="4"/>
        <v>69.333333333333329</v>
      </c>
    </row>
    <row r="15" spans="2:12" s="20" customFormat="1" ht="23.1" customHeight="1">
      <c r="B15" s="19">
        <v>7</v>
      </c>
      <c r="C15" s="14" t="s">
        <v>444</v>
      </c>
      <c r="D15" s="15">
        <v>5356052</v>
      </c>
      <c r="E15" s="16">
        <v>12</v>
      </c>
      <c r="F15" s="16">
        <v>12</v>
      </c>
      <c r="G15" s="16">
        <v>11</v>
      </c>
      <c r="H15" s="17">
        <f t="shared" si="2"/>
        <v>31.111111111111111</v>
      </c>
      <c r="I15" s="17">
        <v>16</v>
      </c>
      <c r="J15" s="17">
        <v>16</v>
      </c>
      <c r="K15" s="17">
        <f t="shared" si="3"/>
        <v>32</v>
      </c>
      <c r="L15" s="17">
        <f t="shared" si="4"/>
        <v>63.111111111111114</v>
      </c>
    </row>
    <row r="16" spans="2:12" s="20" customFormat="1" ht="23.1" customHeight="1">
      <c r="B16" s="19">
        <v>8</v>
      </c>
      <c r="C16" s="14" t="s">
        <v>439</v>
      </c>
      <c r="D16" s="15">
        <v>7882721</v>
      </c>
      <c r="E16" s="16">
        <v>12</v>
      </c>
      <c r="F16" s="16">
        <v>13</v>
      </c>
      <c r="G16" s="16">
        <v>14</v>
      </c>
      <c r="H16" s="17">
        <f t="shared" si="2"/>
        <v>34.666666666666671</v>
      </c>
      <c r="I16" s="17">
        <v>12</v>
      </c>
      <c r="J16" s="17">
        <v>18</v>
      </c>
      <c r="K16" s="17">
        <f t="shared" si="3"/>
        <v>30</v>
      </c>
      <c r="L16" s="17">
        <f t="shared" si="4"/>
        <v>64.666666666666671</v>
      </c>
    </row>
    <row r="17" spans="2:12" s="20" customFormat="1" ht="23.1" customHeight="1">
      <c r="B17" s="19">
        <v>9</v>
      </c>
      <c r="C17" s="14" t="s">
        <v>431</v>
      </c>
      <c r="D17" s="15">
        <v>5800828</v>
      </c>
      <c r="E17" s="16">
        <v>12</v>
      </c>
      <c r="F17" s="16">
        <v>15</v>
      </c>
      <c r="G17" s="16">
        <v>13</v>
      </c>
      <c r="H17" s="17">
        <f t="shared" si="2"/>
        <v>35.555555555555557</v>
      </c>
      <c r="I17" s="17">
        <v>15</v>
      </c>
      <c r="J17" s="17">
        <v>16</v>
      </c>
      <c r="K17" s="17">
        <f t="shared" si="3"/>
        <v>31</v>
      </c>
      <c r="L17" s="17">
        <f t="shared" si="4"/>
        <v>66.555555555555557</v>
      </c>
    </row>
    <row r="18" spans="2:12" s="20" customFormat="1" ht="23.1" customHeight="1">
      <c r="B18" s="19">
        <v>10</v>
      </c>
      <c r="C18" s="14" t="s">
        <v>445</v>
      </c>
      <c r="D18" s="15">
        <v>5721841</v>
      </c>
      <c r="E18" s="16">
        <v>10</v>
      </c>
      <c r="F18" s="16">
        <v>11</v>
      </c>
      <c r="G18" s="16">
        <v>12</v>
      </c>
      <c r="H18" s="17">
        <f t="shared" si="2"/>
        <v>29.333333333333332</v>
      </c>
      <c r="I18" s="17">
        <v>18</v>
      </c>
      <c r="J18" s="17">
        <v>15</v>
      </c>
      <c r="K18" s="17">
        <f t="shared" si="3"/>
        <v>33</v>
      </c>
      <c r="L18" s="17">
        <f t="shared" si="4"/>
        <v>62.333333333333329</v>
      </c>
    </row>
    <row r="19" spans="2:12" s="20" customFormat="1" ht="23.1" customHeight="1">
      <c r="B19" s="19">
        <v>11</v>
      </c>
      <c r="C19" s="14" t="s">
        <v>429</v>
      </c>
      <c r="D19" s="15">
        <v>5484932</v>
      </c>
      <c r="E19" s="16">
        <v>13</v>
      </c>
      <c r="F19" s="16">
        <v>13</v>
      </c>
      <c r="G19" s="16">
        <v>15</v>
      </c>
      <c r="H19" s="17">
        <f t="shared" si="2"/>
        <v>36.44444444444445</v>
      </c>
      <c r="I19" s="17">
        <v>14</v>
      </c>
      <c r="J19" s="17">
        <v>17</v>
      </c>
      <c r="K19" s="17">
        <f t="shared" si="3"/>
        <v>31</v>
      </c>
      <c r="L19" s="17">
        <f t="shared" si="4"/>
        <v>67.444444444444457</v>
      </c>
    </row>
    <row r="20" spans="2:12" s="20" customFormat="1" ht="23.1" customHeight="1">
      <c r="B20" s="19">
        <v>12</v>
      </c>
      <c r="C20" s="14" t="s">
        <v>441</v>
      </c>
      <c r="D20" s="15">
        <v>6806674</v>
      </c>
      <c r="E20" s="16">
        <v>14</v>
      </c>
      <c r="F20" s="16">
        <v>14</v>
      </c>
      <c r="G20" s="16">
        <v>15</v>
      </c>
      <c r="H20" s="17">
        <f t="shared" si="2"/>
        <v>38.222222222222221</v>
      </c>
      <c r="I20" s="17">
        <v>9</v>
      </c>
      <c r="J20" s="17">
        <v>17</v>
      </c>
      <c r="K20" s="17">
        <f t="shared" si="3"/>
        <v>26</v>
      </c>
      <c r="L20" s="17">
        <f t="shared" si="4"/>
        <v>64.222222222222229</v>
      </c>
    </row>
    <row r="21" spans="2:12" s="20" customFormat="1" ht="23.1" customHeight="1">
      <c r="B21" s="19">
        <v>13</v>
      </c>
      <c r="C21" s="14" t="s">
        <v>446</v>
      </c>
      <c r="D21" s="15">
        <v>5968909</v>
      </c>
      <c r="E21" s="16">
        <v>12</v>
      </c>
      <c r="F21" s="16">
        <v>9</v>
      </c>
      <c r="G21" s="16">
        <v>13</v>
      </c>
      <c r="H21" s="17">
        <f t="shared" si="2"/>
        <v>30.222222222222225</v>
      </c>
      <c r="I21" s="17">
        <v>12</v>
      </c>
      <c r="J21" s="17">
        <v>20</v>
      </c>
      <c r="K21" s="17">
        <f t="shared" si="3"/>
        <v>32</v>
      </c>
      <c r="L21" s="17">
        <f t="shared" si="4"/>
        <v>62.222222222222229</v>
      </c>
    </row>
    <row r="22" spans="2:12" s="20" customFormat="1" ht="23.1" customHeight="1">
      <c r="B22" s="19">
        <v>14</v>
      </c>
      <c r="C22" s="14" t="s">
        <v>433</v>
      </c>
      <c r="D22" s="15">
        <v>5645015</v>
      </c>
      <c r="E22" s="16">
        <v>10</v>
      </c>
      <c r="F22" s="16">
        <v>14</v>
      </c>
      <c r="G22" s="16">
        <v>14</v>
      </c>
      <c r="H22" s="17">
        <f t="shared" si="2"/>
        <v>33.777777777777779</v>
      </c>
      <c r="I22" s="17">
        <v>12</v>
      </c>
      <c r="J22" s="17">
        <v>20</v>
      </c>
      <c r="K22" s="17">
        <f t="shared" si="3"/>
        <v>32</v>
      </c>
      <c r="L22" s="17">
        <f t="shared" si="4"/>
        <v>65.777777777777771</v>
      </c>
    </row>
    <row r="23" spans="2:12" s="20" customFormat="1" ht="23.1" customHeight="1">
      <c r="B23" s="19">
        <v>15</v>
      </c>
      <c r="C23" s="14" t="s">
        <v>442</v>
      </c>
      <c r="D23" s="15">
        <v>5223838</v>
      </c>
      <c r="E23" s="16">
        <v>15</v>
      </c>
      <c r="F23" s="16">
        <v>15</v>
      </c>
      <c r="G23" s="16">
        <v>15</v>
      </c>
      <c r="H23" s="17">
        <f t="shared" si="2"/>
        <v>40</v>
      </c>
      <c r="I23" s="17">
        <v>15</v>
      </c>
      <c r="J23" s="17">
        <v>9</v>
      </c>
      <c r="K23" s="17">
        <f t="shared" si="3"/>
        <v>24</v>
      </c>
      <c r="L23" s="17">
        <f t="shared" si="4"/>
        <v>64</v>
      </c>
    </row>
    <row r="24" spans="2:12" s="20" customFormat="1" ht="23.1" customHeight="1">
      <c r="B24" s="19">
        <v>16</v>
      </c>
      <c r="C24" s="14" t="s">
        <v>450</v>
      </c>
      <c r="D24" s="15">
        <v>7965421</v>
      </c>
      <c r="E24" s="16">
        <v>10</v>
      </c>
      <c r="F24" s="16">
        <v>11</v>
      </c>
      <c r="G24" s="16">
        <v>13</v>
      </c>
      <c r="H24" s="17">
        <f t="shared" si="2"/>
        <v>30.222222222222225</v>
      </c>
      <c r="I24" s="17">
        <v>16</v>
      </c>
      <c r="J24" s="17">
        <v>12</v>
      </c>
      <c r="K24" s="17">
        <f t="shared" si="3"/>
        <v>28</v>
      </c>
      <c r="L24" s="17">
        <f t="shared" si="4"/>
        <v>58.222222222222229</v>
      </c>
    </row>
    <row r="25" spans="2:12" s="20" customFormat="1" ht="23.1" customHeight="1">
      <c r="B25" s="19">
        <v>17</v>
      </c>
      <c r="C25" s="14" t="s">
        <v>438</v>
      </c>
      <c r="D25" s="15">
        <v>5865875</v>
      </c>
      <c r="E25" s="16">
        <v>11</v>
      </c>
      <c r="F25" s="16">
        <v>12</v>
      </c>
      <c r="G25" s="16">
        <v>11</v>
      </c>
      <c r="H25" s="17">
        <f t="shared" si="2"/>
        <v>30.222222222222225</v>
      </c>
      <c r="I25" s="17">
        <v>16</v>
      </c>
      <c r="J25" s="17">
        <v>19</v>
      </c>
      <c r="K25" s="17">
        <f t="shared" si="3"/>
        <v>35</v>
      </c>
      <c r="L25" s="17">
        <f t="shared" si="4"/>
        <v>65.222222222222229</v>
      </c>
    </row>
    <row r="26" spans="2:12" s="20" customFormat="1" ht="23.1" customHeight="1">
      <c r="B26" s="19">
        <v>18</v>
      </c>
      <c r="C26" s="14" t="s">
        <v>443</v>
      </c>
      <c r="D26" s="15">
        <v>5730816</v>
      </c>
      <c r="E26" s="16">
        <v>13</v>
      </c>
      <c r="F26" s="16">
        <v>9</v>
      </c>
      <c r="G26" s="16">
        <v>12</v>
      </c>
      <c r="H26" s="17">
        <f t="shared" si="2"/>
        <v>30.222222222222225</v>
      </c>
      <c r="I26" s="17">
        <v>16</v>
      </c>
      <c r="J26" s="17">
        <v>17</v>
      </c>
      <c r="K26" s="17">
        <f t="shared" si="3"/>
        <v>33</v>
      </c>
      <c r="L26" s="17">
        <f t="shared" si="4"/>
        <v>63.222222222222229</v>
      </c>
    </row>
    <row r="27" spans="2:12" s="20" customFormat="1" ht="23.1" customHeight="1">
      <c r="B27" s="19">
        <v>19</v>
      </c>
      <c r="C27" s="14" t="s">
        <v>447</v>
      </c>
      <c r="D27" s="15">
        <v>5783569</v>
      </c>
      <c r="E27" s="16">
        <v>10</v>
      </c>
      <c r="F27" s="16">
        <v>11</v>
      </c>
      <c r="G27" s="16">
        <v>11</v>
      </c>
      <c r="H27" s="17">
        <f t="shared" si="2"/>
        <v>28.444444444444446</v>
      </c>
      <c r="I27" s="17">
        <v>14</v>
      </c>
      <c r="J27" s="17">
        <v>18</v>
      </c>
      <c r="K27" s="17">
        <f t="shared" si="3"/>
        <v>32</v>
      </c>
      <c r="L27" s="17">
        <f t="shared" si="4"/>
        <v>60.444444444444443</v>
      </c>
    </row>
    <row r="28" spans="2:12" s="20" customFormat="1" ht="23.1" customHeight="1">
      <c r="B28" s="19">
        <v>20</v>
      </c>
      <c r="C28" s="14" t="s">
        <v>449</v>
      </c>
      <c r="D28" s="15">
        <v>5774877</v>
      </c>
      <c r="E28" s="16">
        <v>15</v>
      </c>
      <c r="F28" s="16">
        <v>14</v>
      </c>
      <c r="G28" s="16">
        <v>11</v>
      </c>
      <c r="H28" s="17">
        <f t="shared" si="2"/>
        <v>35.555555555555557</v>
      </c>
      <c r="I28" s="17">
        <v>11</v>
      </c>
      <c r="J28" s="17">
        <v>12</v>
      </c>
      <c r="K28" s="17">
        <f t="shared" si="3"/>
        <v>23</v>
      </c>
      <c r="L28" s="17">
        <f t="shared" si="4"/>
        <v>58.555555555555557</v>
      </c>
    </row>
    <row r="29" spans="2:12" s="20" customFormat="1" ht="23.1" customHeight="1">
      <c r="B29" s="19">
        <v>21</v>
      </c>
      <c r="C29" s="14" t="s">
        <v>434</v>
      </c>
      <c r="D29" s="15">
        <v>5403830</v>
      </c>
      <c r="E29" s="16">
        <v>12</v>
      </c>
      <c r="F29" s="16">
        <v>13</v>
      </c>
      <c r="G29" s="16">
        <v>13</v>
      </c>
      <c r="H29" s="17">
        <f t="shared" si="2"/>
        <v>33.777777777777779</v>
      </c>
      <c r="I29" s="17">
        <v>13</v>
      </c>
      <c r="J29" s="17">
        <v>19</v>
      </c>
      <c r="K29" s="17">
        <f t="shared" si="3"/>
        <v>32</v>
      </c>
      <c r="L29" s="17">
        <f t="shared" si="4"/>
        <v>65.777777777777771</v>
      </c>
    </row>
    <row r="30" spans="2:12" s="20" customFormat="1" ht="23.1" customHeight="1">
      <c r="B30" s="19">
        <v>22</v>
      </c>
      <c r="C30" s="14" t="s">
        <v>436</v>
      </c>
      <c r="D30" s="15">
        <v>5664631</v>
      </c>
      <c r="E30" s="16">
        <v>14</v>
      </c>
      <c r="F30" s="16">
        <v>12</v>
      </c>
      <c r="G30" s="16">
        <v>14</v>
      </c>
      <c r="H30" s="17">
        <f t="shared" si="2"/>
        <v>35.555555555555557</v>
      </c>
      <c r="I30" s="17">
        <v>12</v>
      </c>
      <c r="J30" s="17">
        <v>18</v>
      </c>
      <c r="K30" s="17">
        <f t="shared" si="3"/>
        <v>30</v>
      </c>
      <c r="L30" s="17">
        <f t="shared" si="4"/>
        <v>65.555555555555557</v>
      </c>
    </row>
    <row r="31" spans="2:12" s="20" customFormat="1" ht="23.1" customHeight="1">
      <c r="B31" s="19">
        <v>23</v>
      </c>
      <c r="C31" s="14" t="s">
        <v>430</v>
      </c>
      <c r="D31" s="15">
        <v>5843486</v>
      </c>
      <c r="E31" s="16">
        <v>12</v>
      </c>
      <c r="F31" s="16">
        <v>12</v>
      </c>
      <c r="G31" s="16">
        <v>12</v>
      </c>
      <c r="H31" s="17">
        <f t="shared" si="2"/>
        <v>32</v>
      </c>
      <c r="I31" s="17">
        <v>18</v>
      </c>
      <c r="J31" s="17">
        <v>17</v>
      </c>
      <c r="K31" s="17">
        <f t="shared" si="3"/>
        <v>35</v>
      </c>
      <c r="L31" s="17">
        <f t="shared" si="4"/>
        <v>67</v>
      </c>
    </row>
    <row r="32" spans="2:12" s="20" customFormat="1" ht="23.1" customHeight="1">
      <c r="B32" s="19">
        <v>24</v>
      </c>
      <c r="C32" s="14" t="s">
        <v>425</v>
      </c>
      <c r="D32" s="15">
        <v>5860432</v>
      </c>
      <c r="E32" s="16">
        <v>13</v>
      </c>
      <c r="F32" s="16">
        <v>14</v>
      </c>
      <c r="G32" s="16">
        <v>14</v>
      </c>
      <c r="H32" s="17">
        <f t="shared" si="2"/>
        <v>36.44444444444445</v>
      </c>
      <c r="I32" s="17">
        <v>24</v>
      </c>
      <c r="J32" s="17">
        <v>24</v>
      </c>
      <c r="K32" s="17">
        <f t="shared" si="3"/>
        <v>48</v>
      </c>
      <c r="L32" s="17">
        <f t="shared" si="4"/>
        <v>84.444444444444457</v>
      </c>
    </row>
    <row r="33" spans="2:12" s="20" customFormat="1" ht="23.1" customHeight="1">
      <c r="B33" s="19">
        <v>25</v>
      </c>
      <c r="C33" s="14" t="s">
        <v>440</v>
      </c>
      <c r="D33" s="15">
        <v>5512526</v>
      </c>
      <c r="E33" s="16">
        <v>13</v>
      </c>
      <c r="F33" s="16">
        <v>14</v>
      </c>
      <c r="G33" s="16">
        <v>15</v>
      </c>
      <c r="H33" s="17">
        <f t="shared" si="2"/>
        <v>37.333333333333336</v>
      </c>
      <c r="I33" s="17">
        <v>12</v>
      </c>
      <c r="J33" s="17">
        <v>15</v>
      </c>
      <c r="K33" s="17">
        <f t="shared" si="3"/>
        <v>27</v>
      </c>
      <c r="L33" s="17">
        <f t="shared" si="4"/>
        <v>64.333333333333343</v>
      </c>
    </row>
    <row r="34" spans="2:12" s="20" customFormat="1" ht="23.1" customHeight="1">
      <c r="B34" s="19">
        <v>26</v>
      </c>
      <c r="C34" s="14" t="s">
        <v>437</v>
      </c>
      <c r="D34" s="15">
        <v>5983265</v>
      </c>
      <c r="E34" s="16">
        <v>9</v>
      </c>
      <c r="F34" s="16">
        <v>11</v>
      </c>
      <c r="G34" s="16">
        <v>11</v>
      </c>
      <c r="H34" s="17">
        <f t="shared" si="2"/>
        <v>27.555555555555557</v>
      </c>
      <c r="I34" s="17">
        <v>23</v>
      </c>
      <c r="J34" s="17">
        <v>15</v>
      </c>
      <c r="K34" s="17">
        <f t="shared" si="3"/>
        <v>38</v>
      </c>
      <c r="L34" s="17">
        <f t="shared" si="4"/>
        <v>65.555555555555557</v>
      </c>
    </row>
    <row r="35" spans="2:12" s="20" customFormat="1" ht="23.1" customHeight="1">
      <c r="B35" s="19">
        <v>27</v>
      </c>
      <c r="C35" s="14" t="s">
        <v>435</v>
      </c>
      <c r="D35" s="15">
        <v>5357474</v>
      </c>
      <c r="E35" s="16">
        <v>13</v>
      </c>
      <c r="F35" s="16">
        <v>11</v>
      </c>
      <c r="G35" s="16">
        <v>14</v>
      </c>
      <c r="H35" s="17">
        <f t="shared" si="2"/>
        <v>33.777777777777779</v>
      </c>
      <c r="I35" s="17">
        <v>14</v>
      </c>
      <c r="J35" s="17">
        <v>18</v>
      </c>
      <c r="K35" s="17">
        <f t="shared" si="3"/>
        <v>32</v>
      </c>
      <c r="L35" s="17">
        <f t="shared" si="4"/>
        <v>65.777777777777771</v>
      </c>
    </row>
    <row r="36" spans="2:12" s="20" customFormat="1" ht="23.1" customHeight="1">
      <c r="B36" s="19">
        <v>28</v>
      </c>
      <c r="C36" s="14" t="s">
        <v>427</v>
      </c>
      <c r="D36" s="15">
        <v>5686444</v>
      </c>
      <c r="E36" s="16">
        <v>12</v>
      </c>
      <c r="F36" s="16">
        <v>15</v>
      </c>
      <c r="G36" s="16">
        <v>14</v>
      </c>
      <c r="H36" s="17">
        <f t="shared" si="2"/>
        <v>36.44444444444445</v>
      </c>
      <c r="I36" s="17">
        <v>18</v>
      </c>
      <c r="J36" s="17">
        <v>17</v>
      </c>
      <c r="K36" s="17">
        <f t="shared" si="3"/>
        <v>35</v>
      </c>
      <c r="L36" s="17">
        <f t="shared" si="4"/>
        <v>71.444444444444457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7"/>
  <sheetViews>
    <sheetView workbookViewId="0">
      <selection activeCell="B1" sqref="B1:L1"/>
    </sheetView>
  </sheetViews>
  <sheetFormatPr baseColWidth="10" defaultRowHeight="15"/>
  <cols>
    <col min="1" max="1" width="2.7109375" customWidth="1"/>
    <col min="2" max="2" width="3.5703125" customWidth="1"/>
    <col min="3" max="3" width="42.5703125" customWidth="1"/>
    <col min="4" max="4" width="10" bestFit="1" customWidth="1"/>
    <col min="5" max="7" width="5.7109375" customWidth="1"/>
    <col min="8" max="12" width="6.7109375" customWidth="1"/>
  </cols>
  <sheetData>
    <row r="1" spans="2:14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4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4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4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4" ht="15.75">
      <c r="B5" s="35" t="s">
        <v>23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4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4" ht="30" customHeight="1">
      <c r="B7" s="36"/>
      <c r="C7" s="36"/>
      <c r="D7" s="37"/>
      <c r="E7" s="6" t="s">
        <v>10</v>
      </c>
      <c r="F7" s="6" t="s">
        <v>11</v>
      </c>
      <c r="G7" s="6" t="s">
        <v>12</v>
      </c>
      <c r="H7" s="29"/>
      <c r="I7" s="5" t="s">
        <v>13</v>
      </c>
      <c r="J7" s="5" t="s">
        <v>14</v>
      </c>
      <c r="K7" s="29"/>
      <c r="L7" s="29"/>
    </row>
    <row r="8" spans="2:14">
      <c r="B8" s="30" t="s">
        <v>31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4" s="20" customFormat="1" ht="23.1" customHeight="1">
      <c r="B9" s="19">
        <v>1</v>
      </c>
      <c r="C9" s="14" t="s">
        <v>467</v>
      </c>
      <c r="D9" s="15">
        <v>5009235</v>
      </c>
      <c r="E9" s="16">
        <v>8</v>
      </c>
      <c r="F9" s="16">
        <v>12</v>
      </c>
      <c r="G9" s="16">
        <v>10</v>
      </c>
      <c r="H9" s="17">
        <f t="shared" ref="H9:H36" si="2">SUM(E9:G9)*100/45*0.4</f>
        <v>26.666666666666671</v>
      </c>
      <c r="I9" s="17">
        <v>11</v>
      </c>
      <c r="J9" s="17">
        <v>15</v>
      </c>
      <c r="K9" s="17">
        <f t="shared" ref="K9:K36" si="3">SUM(I9:J9)</f>
        <v>26</v>
      </c>
      <c r="L9" s="17">
        <f t="shared" ref="L9:L36" si="4">H9+K9</f>
        <v>52.666666666666671</v>
      </c>
    </row>
    <row r="10" spans="2:14" s="20" customFormat="1" ht="23.1" customHeight="1">
      <c r="B10" s="19">
        <v>2</v>
      </c>
      <c r="C10" s="14" t="s">
        <v>475</v>
      </c>
      <c r="D10" s="15">
        <v>6616009</v>
      </c>
      <c r="E10" s="16">
        <v>13</v>
      </c>
      <c r="F10" s="16">
        <v>12</v>
      </c>
      <c r="G10" s="16">
        <v>14</v>
      </c>
      <c r="H10" s="17">
        <f t="shared" si="2"/>
        <v>34.666666666666671</v>
      </c>
      <c r="I10" s="17">
        <v>6</v>
      </c>
      <c r="J10" s="17">
        <v>11</v>
      </c>
      <c r="K10" s="17">
        <f t="shared" si="3"/>
        <v>17</v>
      </c>
      <c r="L10" s="17">
        <f t="shared" si="4"/>
        <v>51.666666666666671</v>
      </c>
    </row>
    <row r="11" spans="2:14" s="20" customFormat="1" ht="23.1" customHeight="1">
      <c r="B11" s="19">
        <v>3</v>
      </c>
      <c r="C11" s="14" t="s">
        <v>470</v>
      </c>
      <c r="D11" s="15">
        <v>5617414</v>
      </c>
      <c r="E11" s="16">
        <v>14</v>
      </c>
      <c r="F11" s="16">
        <v>14</v>
      </c>
      <c r="G11" s="16">
        <v>14</v>
      </c>
      <c r="H11" s="17">
        <f t="shared" si="2"/>
        <v>37.333333333333336</v>
      </c>
      <c r="I11" s="17">
        <v>7</v>
      </c>
      <c r="J11" s="17">
        <v>8</v>
      </c>
      <c r="K11" s="17">
        <f t="shared" si="3"/>
        <v>15</v>
      </c>
      <c r="L11" s="17">
        <f t="shared" si="4"/>
        <v>52.333333333333336</v>
      </c>
    </row>
    <row r="12" spans="2:14" s="20" customFormat="1" ht="23.1" customHeight="1">
      <c r="B12" s="19">
        <v>4</v>
      </c>
      <c r="C12" s="14" t="s">
        <v>478</v>
      </c>
      <c r="D12" s="15">
        <v>5691161</v>
      </c>
      <c r="E12" s="16">
        <v>8</v>
      </c>
      <c r="F12" s="16">
        <v>9</v>
      </c>
      <c r="G12" s="16">
        <v>10</v>
      </c>
      <c r="H12" s="17">
        <f t="shared" si="2"/>
        <v>24</v>
      </c>
      <c r="I12" s="17">
        <v>12</v>
      </c>
      <c r="J12" s="17">
        <v>15</v>
      </c>
      <c r="K12" s="17">
        <f t="shared" si="3"/>
        <v>27</v>
      </c>
      <c r="L12" s="17">
        <f t="shared" si="4"/>
        <v>51</v>
      </c>
      <c r="N12" s="22"/>
    </row>
    <row r="13" spans="2:14" s="20" customFormat="1" ht="23.1" customHeight="1">
      <c r="B13" s="19">
        <v>5</v>
      </c>
      <c r="C13" s="14" t="s">
        <v>477</v>
      </c>
      <c r="D13" s="15">
        <v>5214295</v>
      </c>
      <c r="E13" s="16">
        <v>10</v>
      </c>
      <c r="F13" s="16">
        <v>11</v>
      </c>
      <c r="G13" s="16">
        <v>12</v>
      </c>
      <c r="H13" s="17">
        <f t="shared" si="2"/>
        <v>29.333333333333332</v>
      </c>
      <c r="I13" s="17">
        <v>13</v>
      </c>
      <c r="J13" s="17">
        <v>9</v>
      </c>
      <c r="K13" s="17">
        <f t="shared" si="3"/>
        <v>22</v>
      </c>
      <c r="L13" s="17">
        <f t="shared" si="4"/>
        <v>51.333333333333329</v>
      </c>
      <c r="N13"/>
    </row>
    <row r="14" spans="2:14" s="20" customFormat="1" ht="23.1" customHeight="1">
      <c r="B14" s="19">
        <v>6</v>
      </c>
      <c r="C14" s="14" t="s">
        <v>461</v>
      </c>
      <c r="D14" s="15">
        <v>5455109</v>
      </c>
      <c r="E14" s="16">
        <v>12</v>
      </c>
      <c r="F14" s="16">
        <v>11</v>
      </c>
      <c r="G14" s="16">
        <v>11</v>
      </c>
      <c r="H14" s="17">
        <f t="shared" si="2"/>
        <v>30.222222222222225</v>
      </c>
      <c r="I14" s="17">
        <v>8</v>
      </c>
      <c r="J14" s="17">
        <v>16</v>
      </c>
      <c r="K14" s="17">
        <f t="shared" si="3"/>
        <v>24</v>
      </c>
      <c r="L14" s="17">
        <f t="shared" si="4"/>
        <v>54.222222222222229</v>
      </c>
      <c r="N14" s="22"/>
    </row>
    <row r="15" spans="2:14" s="20" customFormat="1" ht="23.1" customHeight="1">
      <c r="B15" s="19">
        <v>7</v>
      </c>
      <c r="C15" s="14" t="s">
        <v>474</v>
      </c>
      <c r="D15" s="15">
        <v>5503406</v>
      </c>
      <c r="E15" s="16">
        <v>9</v>
      </c>
      <c r="F15" s="16">
        <v>8</v>
      </c>
      <c r="G15" s="16">
        <v>10</v>
      </c>
      <c r="H15" s="17">
        <f t="shared" si="2"/>
        <v>24</v>
      </c>
      <c r="I15" s="17">
        <v>12</v>
      </c>
      <c r="J15" s="17">
        <v>16</v>
      </c>
      <c r="K15" s="17">
        <f t="shared" si="3"/>
        <v>28</v>
      </c>
      <c r="L15" s="17">
        <f t="shared" si="4"/>
        <v>52</v>
      </c>
      <c r="N15" s="23"/>
    </row>
    <row r="16" spans="2:14" s="20" customFormat="1" ht="23.1" customHeight="1">
      <c r="B16" s="19">
        <v>8</v>
      </c>
      <c r="C16" s="14" t="s">
        <v>472</v>
      </c>
      <c r="D16" s="15">
        <v>5988533</v>
      </c>
      <c r="E16" s="16">
        <v>7</v>
      </c>
      <c r="F16" s="16">
        <v>8</v>
      </c>
      <c r="G16" s="16">
        <v>11</v>
      </c>
      <c r="H16" s="17">
        <f t="shared" si="2"/>
        <v>23.111111111111114</v>
      </c>
      <c r="I16" s="17">
        <v>13</v>
      </c>
      <c r="J16" s="17">
        <v>16</v>
      </c>
      <c r="K16" s="17">
        <f t="shared" si="3"/>
        <v>29</v>
      </c>
      <c r="L16" s="17">
        <f t="shared" si="4"/>
        <v>52.111111111111114</v>
      </c>
    </row>
    <row r="17" spans="2:12" s="20" customFormat="1" ht="23.1" customHeight="1">
      <c r="B17" s="19">
        <v>9</v>
      </c>
      <c r="C17" s="14" t="s">
        <v>459</v>
      </c>
      <c r="D17" s="15">
        <v>6560392</v>
      </c>
      <c r="E17" s="16">
        <v>9</v>
      </c>
      <c r="F17" s="16">
        <v>9</v>
      </c>
      <c r="G17" s="16">
        <v>10</v>
      </c>
      <c r="H17" s="17">
        <f t="shared" si="2"/>
        <v>24.888888888888889</v>
      </c>
      <c r="I17" s="17">
        <v>15</v>
      </c>
      <c r="J17" s="17">
        <v>15</v>
      </c>
      <c r="K17" s="17">
        <f t="shared" si="3"/>
        <v>30</v>
      </c>
      <c r="L17" s="17">
        <f t="shared" si="4"/>
        <v>54.888888888888886</v>
      </c>
    </row>
    <row r="18" spans="2:12" s="20" customFormat="1" ht="23.1" customHeight="1">
      <c r="B18" s="19">
        <v>10</v>
      </c>
      <c r="C18" s="14" t="s">
        <v>463</v>
      </c>
      <c r="D18" s="15">
        <v>5423145</v>
      </c>
      <c r="E18" s="16">
        <v>8</v>
      </c>
      <c r="F18" s="16">
        <v>11</v>
      </c>
      <c r="G18" s="16">
        <v>10</v>
      </c>
      <c r="H18" s="17">
        <f t="shared" si="2"/>
        <v>25.777777777777779</v>
      </c>
      <c r="I18" s="17">
        <v>12</v>
      </c>
      <c r="J18" s="17">
        <v>16</v>
      </c>
      <c r="K18" s="17">
        <f t="shared" si="3"/>
        <v>28</v>
      </c>
      <c r="L18" s="17">
        <f t="shared" si="4"/>
        <v>53.777777777777779</v>
      </c>
    </row>
    <row r="19" spans="2:12" s="20" customFormat="1" ht="23.1" customHeight="1">
      <c r="B19" s="19">
        <v>11</v>
      </c>
      <c r="C19" s="14" t="s">
        <v>476</v>
      </c>
      <c r="D19" s="15">
        <v>6249378</v>
      </c>
      <c r="E19" s="16">
        <v>6</v>
      </c>
      <c r="F19" s="16">
        <v>8</v>
      </c>
      <c r="G19" s="16">
        <v>10</v>
      </c>
      <c r="H19" s="17">
        <f t="shared" si="2"/>
        <v>21.333333333333336</v>
      </c>
      <c r="I19" s="17">
        <v>15</v>
      </c>
      <c r="J19" s="17">
        <v>15</v>
      </c>
      <c r="K19" s="17">
        <f t="shared" si="3"/>
        <v>30</v>
      </c>
      <c r="L19" s="17">
        <f t="shared" si="4"/>
        <v>51.333333333333336</v>
      </c>
    </row>
    <row r="20" spans="2:12" s="20" customFormat="1" ht="23.1" customHeight="1">
      <c r="B20" s="19">
        <v>12</v>
      </c>
      <c r="C20" s="14" t="s">
        <v>458</v>
      </c>
      <c r="D20" s="15">
        <v>5526419</v>
      </c>
      <c r="E20" s="16">
        <v>13</v>
      </c>
      <c r="F20" s="16">
        <v>10</v>
      </c>
      <c r="G20" s="16">
        <v>10</v>
      </c>
      <c r="H20" s="17">
        <f t="shared" si="2"/>
        <v>29.333333333333332</v>
      </c>
      <c r="I20" s="17">
        <v>14</v>
      </c>
      <c r="J20" s="17">
        <v>12</v>
      </c>
      <c r="K20" s="17">
        <f t="shared" si="3"/>
        <v>26</v>
      </c>
      <c r="L20" s="17">
        <f t="shared" si="4"/>
        <v>55.333333333333329</v>
      </c>
    </row>
    <row r="21" spans="2:12" s="20" customFormat="1" ht="23.1" customHeight="1">
      <c r="B21" s="19">
        <v>13</v>
      </c>
      <c r="C21" s="14" t="s">
        <v>456</v>
      </c>
      <c r="D21" s="15">
        <v>5329327</v>
      </c>
      <c r="E21" s="16">
        <v>14</v>
      </c>
      <c r="F21" s="16">
        <v>13</v>
      </c>
      <c r="G21" s="16">
        <v>14</v>
      </c>
      <c r="H21" s="17">
        <f t="shared" si="2"/>
        <v>36.44444444444445</v>
      </c>
      <c r="I21" s="17">
        <v>8</v>
      </c>
      <c r="J21" s="17">
        <v>11</v>
      </c>
      <c r="K21" s="17">
        <f t="shared" si="3"/>
        <v>19</v>
      </c>
      <c r="L21" s="17">
        <f t="shared" si="4"/>
        <v>55.44444444444445</v>
      </c>
    </row>
    <row r="22" spans="2:12" s="20" customFormat="1" ht="23.1" customHeight="1">
      <c r="B22" s="19">
        <v>14</v>
      </c>
      <c r="C22" s="14" t="s">
        <v>455</v>
      </c>
      <c r="D22" s="15">
        <v>5690170</v>
      </c>
      <c r="E22" s="16">
        <v>8</v>
      </c>
      <c r="F22" s="16">
        <v>10</v>
      </c>
      <c r="G22" s="16">
        <v>10</v>
      </c>
      <c r="H22" s="17">
        <f t="shared" si="2"/>
        <v>24.888888888888889</v>
      </c>
      <c r="I22" s="17">
        <v>13</v>
      </c>
      <c r="J22" s="17">
        <v>18</v>
      </c>
      <c r="K22" s="17">
        <f t="shared" si="3"/>
        <v>31</v>
      </c>
      <c r="L22" s="17">
        <f t="shared" si="4"/>
        <v>55.888888888888886</v>
      </c>
    </row>
    <row r="23" spans="2:12" s="20" customFormat="1" ht="23.1" customHeight="1">
      <c r="B23" s="19">
        <v>15</v>
      </c>
      <c r="C23" s="14" t="s">
        <v>457</v>
      </c>
      <c r="D23" s="15">
        <v>5296630</v>
      </c>
      <c r="E23" s="16">
        <v>12</v>
      </c>
      <c r="F23" s="16">
        <v>10</v>
      </c>
      <c r="G23" s="16">
        <v>10</v>
      </c>
      <c r="H23" s="17">
        <f t="shared" si="2"/>
        <v>28.444444444444446</v>
      </c>
      <c r="I23" s="17">
        <v>14</v>
      </c>
      <c r="J23" s="17">
        <v>13</v>
      </c>
      <c r="K23" s="17">
        <f t="shared" si="3"/>
        <v>27</v>
      </c>
      <c r="L23" s="17">
        <f t="shared" si="4"/>
        <v>55.444444444444443</v>
      </c>
    </row>
    <row r="24" spans="2:12" s="20" customFormat="1" ht="23.1" customHeight="1">
      <c r="B24" s="19">
        <v>16</v>
      </c>
      <c r="C24" s="14" t="s">
        <v>468</v>
      </c>
      <c r="D24" s="15">
        <v>5222146</v>
      </c>
      <c r="E24" s="16">
        <v>12</v>
      </c>
      <c r="F24" s="16">
        <v>10</v>
      </c>
      <c r="G24" s="16">
        <v>8</v>
      </c>
      <c r="H24" s="17">
        <f t="shared" si="2"/>
        <v>26.666666666666671</v>
      </c>
      <c r="I24" s="17">
        <v>12</v>
      </c>
      <c r="J24" s="17">
        <v>14</v>
      </c>
      <c r="K24" s="17">
        <f t="shared" si="3"/>
        <v>26</v>
      </c>
      <c r="L24" s="17">
        <f t="shared" si="4"/>
        <v>52.666666666666671</v>
      </c>
    </row>
    <row r="25" spans="2:12" s="20" customFormat="1" ht="23.1" customHeight="1">
      <c r="B25" s="19">
        <v>17</v>
      </c>
      <c r="C25" s="14" t="s">
        <v>464</v>
      </c>
      <c r="D25" s="15">
        <v>5620867</v>
      </c>
      <c r="E25" s="16">
        <v>11</v>
      </c>
      <c r="F25" s="16">
        <v>10</v>
      </c>
      <c r="G25" s="16">
        <v>8</v>
      </c>
      <c r="H25" s="17">
        <f t="shared" si="2"/>
        <v>25.777777777777779</v>
      </c>
      <c r="I25" s="17">
        <v>12</v>
      </c>
      <c r="J25" s="17">
        <v>16</v>
      </c>
      <c r="K25" s="17">
        <f t="shared" si="3"/>
        <v>28</v>
      </c>
      <c r="L25" s="17">
        <f t="shared" si="4"/>
        <v>53.777777777777779</v>
      </c>
    </row>
    <row r="26" spans="2:12" s="20" customFormat="1" ht="23.1" customHeight="1">
      <c r="B26" s="19">
        <v>18</v>
      </c>
      <c r="C26" s="14" t="s">
        <v>454</v>
      </c>
      <c r="D26" s="15">
        <v>6647454</v>
      </c>
      <c r="E26" s="16">
        <v>9</v>
      </c>
      <c r="F26" s="16">
        <v>11</v>
      </c>
      <c r="G26" s="16">
        <v>13</v>
      </c>
      <c r="H26" s="17">
        <f t="shared" si="2"/>
        <v>29.333333333333332</v>
      </c>
      <c r="I26" s="17">
        <v>12</v>
      </c>
      <c r="J26" s="17">
        <v>15</v>
      </c>
      <c r="K26" s="17">
        <f t="shared" si="3"/>
        <v>27</v>
      </c>
      <c r="L26" s="17">
        <f t="shared" si="4"/>
        <v>56.333333333333329</v>
      </c>
    </row>
    <row r="27" spans="2:12" s="20" customFormat="1" ht="23.1" customHeight="1">
      <c r="B27" s="19">
        <v>19</v>
      </c>
      <c r="C27" s="14" t="s">
        <v>462</v>
      </c>
      <c r="D27" s="15">
        <v>5222570</v>
      </c>
      <c r="E27" s="16">
        <v>10</v>
      </c>
      <c r="F27" s="16">
        <v>9</v>
      </c>
      <c r="G27" s="16">
        <v>7</v>
      </c>
      <c r="H27" s="17">
        <f t="shared" si="2"/>
        <v>23.111111111111114</v>
      </c>
      <c r="I27" s="17">
        <v>16</v>
      </c>
      <c r="J27" s="17">
        <v>15</v>
      </c>
      <c r="K27" s="17">
        <f t="shared" si="3"/>
        <v>31</v>
      </c>
      <c r="L27" s="17">
        <f t="shared" si="4"/>
        <v>54.111111111111114</v>
      </c>
    </row>
    <row r="28" spans="2:12" s="20" customFormat="1" ht="23.1" customHeight="1">
      <c r="B28" s="19">
        <v>20</v>
      </c>
      <c r="C28" s="14" t="s">
        <v>479</v>
      </c>
      <c r="D28" s="15">
        <v>6047485</v>
      </c>
      <c r="E28" s="16">
        <v>12</v>
      </c>
      <c r="F28" s="16">
        <v>7</v>
      </c>
      <c r="G28" s="16">
        <v>10</v>
      </c>
      <c r="H28" s="17">
        <f t="shared" si="2"/>
        <v>25.777777777777779</v>
      </c>
      <c r="I28" s="17">
        <v>12</v>
      </c>
      <c r="J28" s="17">
        <v>13</v>
      </c>
      <c r="K28" s="17">
        <f t="shared" si="3"/>
        <v>25</v>
      </c>
      <c r="L28" s="17">
        <f t="shared" si="4"/>
        <v>50.777777777777779</v>
      </c>
    </row>
    <row r="29" spans="2:12" s="20" customFormat="1" ht="23.1" customHeight="1">
      <c r="B29" s="19">
        <v>21</v>
      </c>
      <c r="C29" s="14" t="s">
        <v>460</v>
      </c>
      <c r="D29" s="15">
        <v>6219609</v>
      </c>
      <c r="E29" s="16">
        <v>9</v>
      </c>
      <c r="F29" s="16">
        <v>6</v>
      </c>
      <c r="G29" s="16">
        <v>9</v>
      </c>
      <c r="H29" s="17">
        <f t="shared" si="2"/>
        <v>21.333333333333336</v>
      </c>
      <c r="I29" s="17">
        <v>15</v>
      </c>
      <c r="J29" s="17">
        <v>18</v>
      </c>
      <c r="K29" s="17">
        <f t="shared" si="3"/>
        <v>33</v>
      </c>
      <c r="L29" s="17">
        <f t="shared" si="4"/>
        <v>54.333333333333336</v>
      </c>
    </row>
    <row r="30" spans="2:12" s="20" customFormat="1" ht="23.1" customHeight="1">
      <c r="B30" s="19">
        <v>22</v>
      </c>
      <c r="C30" s="14" t="s">
        <v>469</v>
      </c>
      <c r="D30" s="15">
        <v>6050950</v>
      </c>
      <c r="E30" s="16">
        <v>10</v>
      </c>
      <c r="F30" s="16">
        <v>11</v>
      </c>
      <c r="G30" s="16">
        <v>9</v>
      </c>
      <c r="H30" s="17">
        <f t="shared" si="2"/>
        <v>26.666666666666671</v>
      </c>
      <c r="I30" s="17">
        <v>11</v>
      </c>
      <c r="J30" s="17">
        <v>15</v>
      </c>
      <c r="K30" s="17">
        <f t="shared" si="3"/>
        <v>26</v>
      </c>
      <c r="L30" s="17">
        <f t="shared" si="4"/>
        <v>52.666666666666671</v>
      </c>
    </row>
    <row r="31" spans="2:12" s="20" customFormat="1" ht="23.1" customHeight="1">
      <c r="B31" s="19">
        <v>23</v>
      </c>
      <c r="C31" s="14" t="s">
        <v>465</v>
      </c>
      <c r="D31" s="15">
        <v>7377110</v>
      </c>
      <c r="E31" s="16">
        <v>12</v>
      </c>
      <c r="F31" s="16">
        <v>9</v>
      </c>
      <c r="G31" s="16">
        <v>9</v>
      </c>
      <c r="H31" s="17">
        <f t="shared" si="2"/>
        <v>26.666666666666671</v>
      </c>
      <c r="I31" s="17">
        <v>11</v>
      </c>
      <c r="J31" s="17">
        <v>16</v>
      </c>
      <c r="K31" s="17">
        <f t="shared" si="3"/>
        <v>27</v>
      </c>
      <c r="L31" s="17">
        <f t="shared" si="4"/>
        <v>53.666666666666671</v>
      </c>
    </row>
    <row r="32" spans="2:12" s="20" customFormat="1" ht="23.1" customHeight="1">
      <c r="B32" s="19">
        <v>24</v>
      </c>
      <c r="C32" s="14" t="s">
        <v>471</v>
      </c>
      <c r="D32" s="15">
        <v>5754656</v>
      </c>
      <c r="E32" s="16">
        <v>9</v>
      </c>
      <c r="F32" s="16">
        <v>6</v>
      </c>
      <c r="G32" s="16">
        <v>9</v>
      </c>
      <c r="H32" s="17">
        <f t="shared" si="2"/>
        <v>21.333333333333336</v>
      </c>
      <c r="I32" s="17">
        <v>18</v>
      </c>
      <c r="J32" s="17">
        <v>13</v>
      </c>
      <c r="K32" s="17">
        <f t="shared" si="3"/>
        <v>31</v>
      </c>
      <c r="L32" s="17">
        <f t="shared" si="4"/>
        <v>52.333333333333336</v>
      </c>
    </row>
    <row r="33" spans="2:13" s="20" customFormat="1" ht="23.1" customHeight="1">
      <c r="B33" s="19">
        <v>25</v>
      </c>
      <c r="C33" s="14" t="s">
        <v>473</v>
      </c>
      <c r="D33" s="15">
        <v>5387182</v>
      </c>
      <c r="E33" s="16">
        <v>9</v>
      </c>
      <c r="F33" s="16">
        <v>9</v>
      </c>
      <c r="G33" s="16">
        <v>8</v>
      </c>
      <c r="H33" s="17">
        <f t="shared" si="2"/>
        <v>23.111111111111114</v>
      </c>
      <c r="I33" s="17">
        <v>16</v>
      </c>
      <c r="J33" s="17">
        <v>13</v>
      </c>
      <c r="K33" s="17">
        <f t="shared" si="3"/>
        <v>29</v>
      </c>
      <c r="L33" s="17">
        <f t="shared" si="4"/>
        <v>52.111111111111114</v>
      </c>
    </row>
    <row r="34" spans="2:13" s="20" customFormat="1" ht="23.1" customHeight="1">
      <c r="B34" s="19">
        <v>26</v>
      </c>
      <c r="C34" s="14" t="s">
        <v>466</v>
      </c>
      <c r="D34" s="15">
        <v>5811941</v>
      </c>
      <c r="E34" s="16">
        <v>11</v>
      </c>
      <c r="F34" s="16">
        <v>12</v>
      </c>
      <c r="G34" s="16">
        <v>12</v>
      </c>
      <c r="H34" s="17">
        <f t="shared" si="2"/>
        <v>31.111111111111111</v>
      </c>
      <c r="I34" s="17">
        <v>8</v>
      </c>
      <c r="J34" s="17">
        <v>14</v>
      </c>
      <c r="K34" s="17">
        <f t="shared" si="3"/>
        <v>22</v>
      </c>
      <c r="L34" s="17">
        <f t="shared" si="4"/>
        <v>53.111111111111114</v>
      </c>
    </row>
    <row r="35" spans="2:13" s="20" customFormat="1" ht="23.1" customHeight="1">
      <c r="B35" s="19">
        <v>27</v>
      </c>
      <c r="C35" s="14" t="s">
        <v>480</v>
      </c>
      <c r="D35" s="15">
        <v>7213952</v>
      </c>
      <c r="E35" s="16">
        <v>13</v>
      </c>
      <c r="F35" s="16">
        <v>12</v>
      </c>
      <c r="G35" s="16">
        <v>15</v>
      </c>
      <c r="H35" s="17">
        <f t="shared" si="2"/>
        <v>35.555555555555557</v>
      </c>
      <c r="I35" s="17">
        <v>7</v>
      </c>
      <c r="J35" s="17">
        <v>8</v>
      </c>
      <c r="K35" s="17">
        <f t="shared" si="3"/>
        <v>15</v>
      </c>
      <c r="L35" s="17">
        <f t="shared" si="4"/>
        <v>50.555555555555557</v>
      </c>
      <c r="M35" s="21"/>
    </row>
    <row r="36" spans="2:13" s="20" customFormat="1" ht="23.1" customHeight="1">
      <c r="B36" s="19">
        <v>28</v>
      </c>
      <c r="C36" s="14" t="s">
        <v>453</v>
      </c>
      <c r="D36" s="15">
        <v>5860915</v>
      </c>
      <c r="E36" s="16">
        <v>10</v>
      </c>
      <c r="F36" s="16">
        <v>11</v>
      </c>
      <c r="G36" s="16">
        <v>7</v>
      </c>
      <c r="H36" s="17">
        <f t="shared" si="2"/>
        <v>24.888888888888889</v>
      </c>
      <c r="I36" s="17">
        <v>15</v>
      </c>
      <c r="J36" s="17">
        <v>17</v>
      </c>
      <c r="K36" s="17">
        <f t="shared" si="3"/>
        <v>32</v>
      </c>
      <c r="L36" s="17">
        <f t="shared" si="4"/>
        <v>56.888888888888886</v>
      </c>
      <c r="M36" s="21"/>
    </row>
    <row r="37" spans="2:13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2.5703125" customWidth="1"/>
    <col min="2" max="2" width="4.85546875" bestFit="1" customWidth="1"/>
    <col min="3" max="3" width="47.28515625" customWidth="1"/>
    <col min="4" max="4" width="9.7109375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54" t="s">
        <v>24</v>
      </c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11" t="s">
        <v>10</v>
      </c>
      <c r="F7" s="11" t="s">
        <v>11</v>
      </c>
      <c r="G7" s="11" t="s">
        <v>12</v>
      </c>
      <c r="H7" s="29"/>
      <c r="I7" s="10" t="s">
        <v>13</v>
      </c>
      <c r="J7" s="10" t="s">
        <v>14</v>
      </c>
      <c r="K7" s="29"/>
      <c r="L7" s="29"/>
    </row>
    <row r="8" spans="2:12">
      <c r="B8" s="30" t="s">
        <v>16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492</v>
      </c>
      <c r="D9" s="15">
        <v>6168824</v>
      </c>
      <c r="E9" s="16">
        <v>15</v>
      </c>
      <c r="F9" s="16">
        <v>15</v>
      </c>
      <c r="G9" s="16">
        <v>15</v>
      </c>
      <c r="H9" s="17">
        <f t="shared" ref="H9:H36" si="2">SUM(E9:G9)*100/45*0.4</f>
        <v>40</v>
      </c>
      <c r="I9" s="17">
        <v>20</v>
      </c>
      <c r="J9" s="17">
        <v>24</v>
      </c>
      <c r="K9" s="17">
        <f t="shared" ref="K9:K36" si="3">SUM(I9:J9)</f>
        <v>44</v>
      </c>
      <c r="L9" s="17">
        <f t="shared" ref="L9:L36" si="4">H9+K9</f>
        <v>84</v>
      </c>
    </row>
    <row r="10" spans="2:12" s="9" customFormat="1" ht="23.1" customHeight="1">
      <c r="B10" s="19">
        <v>2</v>
      </c>
      <c r="C10" s="14" t="s">
        <v>497</v>
      </c>
      <c r="D10" s="15">
        <v>6359060</v>
      </c>
      <c r="E10" s="16">
        <v>15</v>
      </c>
      <c r="F10" s="16">
        <v>14</v>
      </c>
      <c r="G10" s="16">
        <v>15</v>
      </c>
      <c r="H10" s="17">
        <f t="shared" si="2"/>
        <v>39.111111111111114</v>
      </c>
      <c r="I10" s="17">
        <v>21</v>
      </c>
      <c r="J10" s="17">
        <v>23</v>
      </c>
      <c r="K10" s="17">
        <f t="shared" si="3"/>
        <v>44</v>
      </c>
      <c r="L10" s="17">
        <f t="shared" si="4"/>
        <v>83.111111111111114</v>
      </c>
    </row>
    <row r="11" spans="2:12" s="9" customFormat="1" ht="23.1" customHeight="1">
      <c r="B11" s="19">
        <v>3</v>
      </c>
      <c r="C11" s="14" t="s">
        <v>506</v>
      </c>
      <c r="D11" s="15">
        <v>5901168</v>
      </c>
      <c r="E11" s="16">
        <v>15</v>
      </c>
      <c r="F11" s="16">
        <v>15</v>
      </c>
      <c r="G11" s="16">
        <v>15</v>
      </c>
      <c r="H11" s="17">
        <f t="shared" si="2"/>
        <v>40</v>
      </c>
      <c r="I11" s="17">
        <v>21</v>
      </c>
      <c r="J11" s="17">
        <v>19</v>
      </c>
      <c r="K11" s="17">
        <f t="shared" si="3"/>
        <v>40</v>
      </c>
      <c r="L11" s="17">
        <f t="shared" si="4"/>
        <v>80</v>
      </c>
    </row>
    <row r="12" spans="2:12" s="9" customFormat="1" ht="23.1" customHeight="1">
      <c r="B12" s="19">
        <v>4</v>
      </c>
      <c r="C12" s="14" t="s">
        <v>493</v>
      </c>
      <c r="D12" s="15">
        <v>5434735</v>
      </c>
      <c r="E12" s="16">
        <v>15</v>
      </c>
      <c r="F12" s="16">
        <v>15</v>
      </c>
      <c r="G12" s="16">
        <v>15</v>
      </c>
      <c r="H12" s="17">
        <f t="shared" si="2"/>
        <v>40</v>
      </c>
      <c r="I12" s="17">
        <v>26</v>
      </c>
      <c r="J12" s="17">
        <v>18</v>
      </c>
      <c r="K12" s="17">
        <f t="shared" si="3"/>
        <v>44</v>
      </c>
      <c r="L12" s="17">
        <f t="shared" si="4"/>
        <v>84</v>
      </c>
    </row>
    <row r="13" spans="2:12" s="9" customFormat="1" ht="23.1" customHeight="1">
      <c r="B13" s="19">
        <v>5</v>
      </c>
      <c r="C13" s="14" t="s">
        <v>486</v>
      </c>
      <c r="D13" s="15">
        <v>5722394</v>
      </c>
      <c r="E13" s="16">
        <v>15</v>
      </c>
      <c r="F13" s="16">
        <v>15</v>
      </c>
      <c r="G13" s="16">
        <v>15</v>
      </c>
      <c r="H13" s="17">
        <f t="shared" si="2"/>
        <v>40</v>
      </c>
      <c r="I13" s="17">
        <v>21</v>
      </c>
      <c r="J13" s="17">
        <v>26</v>
      </c>
      <c r="K13" s="17">
        <f t="shared" si="3"/>
        <v>47</v>
      </c>
      <c r="L13" s="17">
        <f t="shared" si="4"/>
        <v>87</v>
      </c>
    </row>
    <row r="14" spans="2:12" s="9" customFormat="1" ht="23.1" customHeight="1">
      <c r="B14" s="19">
        <v>6</v>
      </c>
      <c r="C14" s="14" t="s">
        <v>494</v>
      </c>
      <c r="D14" s="15">
        <v>5696102</v>
      </c>
      <c r="E14" s="16">
        <v>15</v>
      </c>
      <c r="F14" s="16">
        <v>15</v>
      </c>
      <c r="G14" s="16">
        <v>15</v>
      </c>
      <c r="H14" s="17">
        <f t="shared" si="2"/>
        <v>40</v>
      </c>
      <c r="I14" s="17">
        <v>25</v>
      </c>
      <c r="J14" s="17">
        <v>19</v>
      </c>
      <c r="K14" s="17">
        <f t="shared" si="3"/>
        <v>44</v>
      </c>
      <c r="L14" s="17">
        <f t="shared" si="4"/>
        <v>84</v>
      </c>
    </row>
    <row r="15" spans="2:12" s="9" customFormat="1" ht="23.1" customHeight="1">
      <c r="B15" s="19">
        <v>7</v>
      </c>
      <c r="C15" s="14" t="s">
        <v>508</v>
      </c>
      <c r="D15" s="15">
        <v>5246361</v>
      </c>
      <c r="E15" s="16">
        <v>14</v>
      </c>
      <c r="F15" s="16">
        <v>15</v>
      </c>
      <c r="G15" s="16">
        <v>15</v>
      </c>
      <c r="H15" s="17">
        <f t="shared" si="2"/>
        <v>39.111111111111114</v>
      </c>
      <c r="I15" s="17">
        <v>19</v>
      </c>
      <c r="J15" s="17">
        <v>21</v>
      </c>
      <c r="K15" s="17">
        <f t="shared" si="3"/>
        <v>40</v>
      </c>
      <c r="L15" s="17">
        <f t="shared" si="4"/>
        <v>79.111111111111114</v>
      </c>
    </row>
    <row r="16" spans="2:12" s="9" customFormat="1" ht="23.1" customHeight="1">
      <c r="B16" s="19">
        <v>8</v>
      </c>
      <c r="C16" s="14" t="s">
        <v>487</v>
      </c>
      <c r="D16" s="15">
        <v>5358729</v>
      </c>
      <c r="E16" s="16">
        <v>15</v>
      </c>
      <c r="F16" s="16">
        <v>15</v>
      </c>
      <c r="G16" s="16">
        <v>15</v>
      </c>
      <c r="H16" s="17">
        <f t="shared" si="2"/>
        <v>40</v>
      </c>
      <c r="I16" s="17">
        <v>24</v>
      </c>
      <c r="J16" s="17">
        <v>23</v>
      </c>
      <c r="K16" s="17">
        <f t="shared" si="3"/>
        <v>47</v>
      </c>
      <c r="L16" s="17">
        <f t="shared" si="4"/>
        <v>87</v>
      </c>
    </row>
    <row r="17" spans="2:12" s="9" customFormat="1" ht="23.1" customHeight="1">
      <c r="B17" s="19">
        <v>9</v>
      </c>
      <c r="C17" s="14" t="s">
        <v>503</v>
      </c>
      <c r="D17" s="15">
        <v>6684327</v>
      </c>
      <c r="E17" s="16">
        <v>15</v>
      </c>
      <c r="F17" s="16">
        <v>15</v>
      </c>
      <c r="G17" s="16">
        <v>15</v>
      </c>
      <c r="H17" s="17">
        <f t="shared" si="2"/>
        <v>40</v>
      </c>
      <c r="I17" s="17">
        <v>17</v>
      </c>
      <c r="J17" s="17">
        <v>24</v>
      </c>
      <c r="K17" s="17">
        <f t="shared" si="3"/>
        <v>41</v>
      </c>
      <c r="L17" s="17">
        <f t="shared" si="4"/>
        <v>81</v>
      </c>
    </row>
    <row r="18" spans="2:12" s="9" customFormat="1" ht="23.1" customHeight="1">
      <c r="B18" s="19">
        <v>10</v>
      </c>
      <c r="C18" s="14" t="s">
        <v>488</v>
      </c>
      <c r="D18" s="15">
        <v>5357121</v>
      </c>
      <c r="E18" s="16">
        <v>15</v>
      </c>
      <c r="F18" s="16">
        <v>15</v>
      </c>
      <c r="G18" s="16">
        <v>15</v>
      </c>
      <c r="H18" s="17">
        <f t="shared" si="2"/>
        <v>40</v>
      </c>
      <c r="I18" s="17">
        <v>24</v>
      </c>
      <c r="J18" s="17">
        <v>23</v>
      </c>
      <c r="K18" s="17">
        <f t="shared" si="3"/>
        <v>47</v>
      </c>
      <c r="L18" s="17">
        <f t="shared" si="4"/>
        <v>87</v>
      </c>
    </row>
    <row r="19" spans="2:12" s="9" customFormat="1" ht="23.1" customHeight="1">
      <c r="B19" s="19">
        <v>11</v>
      </c>
      <c r="C19" s="14" t="s">
        <v>484</v>
      </c>
      <c r="D19" s="15">
        <v>5688488</v>
      </c>
      <c r="E19" s="16">
        <v>15</v>
      </c>
      <c r="F19" s="16">
        <v>15</v>
      </c>
      <c r="G19" s="16">
        <v>15</v>
      </c>
      <c r="H19" s="17">
        <f t="shared" si="2"/>
        <v>40</v>
      </c>
      <c r="I19" s="17">
        <v>25</v>
      </c>
      <c r="J19" s="17">
        <v>24</v>
      </c>
      <c r="K19" s="17">
        <f t="shared" si="3"/>
        <v>49</v>
      </c>
      <c r="L19" s="17">
        <f t="shared" si="4"/>
        <v>89</v>
      </c>
    </row>
    <row r="20" spans="2:12" s="9" customFormat="1" ht="23.1" customHeight="1">
      <c r="B20" s="19">
        <v>12</v>
      </c>
      <c r="C20" s="14" t="s">
        <v>498</v>
      </c>
      <c r="D20" s="15">
        <v>6090150</v>
      </c>
      <c r="E20" s="16">
        <v>15</v>
      </c>
      <c r="F20" s="16">
        <v>15</v>
      </c>
      <c r="G20" s="16">
        <v>15</v>
      </c>
      <c r="H20" s="17">
        <f t="shared" si="2"/>
        <v>40</v>
      </c>
      <c r="I20" s="17">
        <v>22</v>
      </c>
      <c r="J20" s="17">
        <v>21</v>
      </c>
      <c r="K20" s="17">
        <f t="shared" si="3"/>
        <v>43</v>
      </c>
      <c r="L20" s="17">
        <f t="shared" si="4"/>
        <v>83</v>
      </c>
    </row>
    <row r="21" spans="2:12" s="9" customFormat="1" ht="23.1" customHeight="1">
      <c r="B21" s="19">
        <v>13</v>
      </c>
      <c r="C21" s="14" t="s">
        <v>496</v>
      </c>
      <c r="D21" s="15">
        <v>6068951</v>
      </c>
      <c r="E21" s="16">
        <v>13</v>
      </c>
      <c r="F21" s="16">
        <v>15</v>
      </c>
      <c r="G21" s="16">
        <v>15</v>
      </c>
      <c r="H21" s="17">
        <f t="shared" si="2"/>
        <v>38.222222222222221</v>
      </c>
      <c r="I21" s="17">
        <v>23</v>
      </c>
      <c r="J21" s="17">
        <v>22</v>
      </c>
      <c r="K21" s="17">
        <f t="shared" si="3"/>
        <v>45</v>
      </c>
      <c r="L21" s="17">
        <f t="shared" si="4"/>
        <v>83.222222222222229</v>
      </c>
    </row>
    <row r="22" spans="2:12" s="9" customFormat="1" ht="23.1" customHeight="1">
      <c r="B22" s="19">
        <v>14</v>
      </c>
      <c r="C22" s="14" t="s">
        <v>490</v>
      </c>
      <c r="D22" s="15">
        <v>5633266</v>
      </c>
      <c r="E22" s="16">
        <v>15</v>
      </c>
      <c r="F22" s="16">
        <v>15</v>
      </c>
      <c r="G22" s="16">
        <v>15</v>
      </c>
      <c r="H22" s="17">
        <f t="shared" si="2"/>
        <v>40</v>
      </c>
      <c r="I22" s="17">
        <v>24</v>
      </c>
      <c r="J22" s="17">
        <v>22</v>
      </c>
      <c r="K22" s="17">
        <f t="shared" si="3"/>
        <v>46</v>
      </c>
      <c r="L22" s="17">
        <f t="shared" si="4"/>
        <v>86</v>
      </c>
    </row>
    <row r="23" spans="2:12" s="9" customFormat="1" ht="23.1" customHeight="1">
      <c r="B23" s="19">
        <v>15</v>
      </c>
      <c r="C23" s="14" t="s">
        <v>501</v>
      </c>
      <c r="D23" s="15">
        <v>5770192</v>
      </c>
      <c r="E23" s="16">
        <v>15</v>
      </c>
      <c r="F23" s="16">
        <v>15</v>
      </c>
      <c r="G23" s="16">
        <v>15</v>
      </c>
      <c r="H23" s="17">
        <f t="shared" si="2"/>
        <v>40</v>
      </c>
      <c r="I23" s="17">
        <v>20</v>
      </c>
      <c r="J23" s="17">
        <v>22</v>
      </c>
      <c r="K23" s="17">
        <f t="shared" si="3"/>
        <v>42</v>
      </c>
      <c r="L23" s="17">
        <f t="shared" si="4"/>
        <v>82</v>
      </c>
    </row>
    <row r="24" spans="2:12" s="9" customFormat="1" ht="23.1" customHeight="1">
      <c r="B24" s="19">
        <v>16</v>
      </c>
      <c r="C24" s="14" t="s">
        <v>491</v>
      </c>
      <c r="D24" s="15">
        <v>5361932</v>
      </c>
      <c r="E24" s="16">
        <v>14</v>
      </c>
      <c r="F24" s="16">
        <v>15</v>
      </c>
      <c r="G24" s="16">
        <v>15</v>
      </c>
      <c r="H24" s="17">
        <f t="shared" si="2"/>
        <v>39.111111111111114</v>
      </c>
      <c r="I24" s="17">
        <v>26</v>
      </c>
      <c r="J24" s="17">
        <v>19</v>
      </c>
      <c r="K24" s="17">
        <f t="shared" si="3"/>
        <v>45</v>
      </c>
      <c r="L24" s="17">
        <f t="shared" si="4"/>
        <v>84.111111111111114</v>
      </c>
    </row>
    <row r="25" spans="2:12" s="9" customFormat="1" ht="23.1" customHeight="1">
      <c r="B25" s="19">
        <v>17</v>
      </c>
      <c r="C25" s="14" t="s">
        <v>502</v>
      </c>
      <c r="D25" s="15">
        <v>7189234</v>
      </c>
      <c r="E25" s="16">
        <v>15</v>
      </c>
      <c r="F25" s="16">
        <v>15</v>
      </c>
      <c r="G25" s="16">
        <v>15</v>
      </c>
      <c r="H25" s="17">
        <f t="shared" si="2"/>
        <v>40</v>
      </c>
      <c r="I25" s="17">
        <v>18</v>
      </c>
      <c r="J25" s="17">
        <v>24</v>
      </c>
      <c r="K25" s="17">
        <f t="shared" si="3"/>
        <v>42</v>
      </c>
      <c r="L25" s="17">
        <f t="shared" si="4"/>
        <v>82</v>
      </c>
    </row>
    <row r="26" spans="2:12" s="9" customFormat="1" ht="23.1" customHeight="1">
      <c r="B26" s="19">
        <v>18</v>
      </c>
      <c r="C26" s="14" t="s">
        <v>505</v>
      </c>
      <c r="D26" s="15">
        <v>5991664</v>
      </c>
      <c r="E26" s="16">
        <v>15</v>
      </c>
      <c r="F26" s="16">
        <v>15</v>
      </c>
      <c r="G26" s="16">
        <v>15</v>
      </c>
      <c r="H26" s="17">
        <f t="shared" si="2"/>
        <v>40</v>
      </c>
      <c r="I26" s="17">
        <v>18</v>
      </c>
      <c r="J26" s="17">
        <v>22</v>
      </c>
      <c r="K26" s="17">
        <f t="shared" si="3"/>
        <v>40</v>
      </c>
      <c r="L26" s="17">
        <f t="shared" si="4"/>
        <v>80</v>
      </c>
    </row>
    <row r="27" spans="2:12" s="9" customFormat="1" ht="23.1" customHeight="1">
      <c r="B27" s="19">
        <v>19</v>
      </c>
      <c r="C27" s="14" t="s">
        <v>500</v>
      </c>
      <c r="D27" s="15">
        <v>5114185</v>
      </c>
      <c r="E27" s="16">
        <v>13</v>
      </c>
      <c r="F27" s="16">
        <v>13</v>
      </c>
      <c r="G27" s="16">
        <v>14</v>
      </c>
      <c r="H27" s="17">
        <f t="shared" si="2"/>
        <v>35.555555555555557</v>
      </c>
      <c r="I27" s="17">
        <v>27</v>
      </c>
      <c r="J27" s="17">
        <v>20</v>
      </c>
      <c r="K27" s="17">
        <f t="shared" si="3"/>
        <v>47</v>
      </c>
      <c r="L27" s="17">
        <f t="shared" si="4"/>
        <v>82.555555555555557</v>
      </c>
    </row>
    <row r="28" spans="2:12" s="9" customFormat="1" ht="23.1" customHeight="1">
      <c r="B28" s="19">
        <v>20</v>
      </c>
      <c r="C28" s="14" t="s">
        <v>495</v>
      </c>
      <c r="D28" s="15">
        <v>5223031</v>
      </c>
      <c r="E28" s="16">
        <v>12</v>
      </c>
      <c r="F28" s="16">
        <v>14</v>
      </c>
      <c r="G28" s="16">
        <v>15</v>
      </c>
      <c r="H28" s="17">
        <f t="shared" si="2"/>
        <v>36.44444444444445</v>
      </c>
      <c r="I28" s="17">
        <v>27</v>
      </c>
      <c r="J28" s="17">
        <v>20</v>
      </c>
      <c r="K28" s="17">
        <f t="shared" si="3"/>
        <v>47</v>
      </c>
      <c r="L28" s="17">
        <f t="shared" si="4"/>
        <v>83.444444444444457</v>
      </c>
    </row>
    <row r="29" spans="2:12" s="9" customFormat="1" ht="23.1" customHeight="1">
      <c r="B29" s="19">
        <v>21</v>
      </c>
      <c r="C29" s="14" t="s">
        <v>499</v>
      </c>
      <c r="D29" s="15">
        <v>5585602</v>
      </c>
      <c r="E29" s="16">
        <v>15</v>
      </c>
      <c r="F29" s="16">
        <v>15</v>
      </c>
      <c r="G29" s="16">
        <v>15</v>
      </c>
      <c r="H29" s="17">
        <f t="shared" si="2"/>
        <v>40</v>
      </c>
      <c r="I29" s="17">
        <v>18</v>
      </c>
      <c r="J29" s="17">
        <v>25</v>
      </c>
      <c r="K29" s="17">
        <f t="shared" si="3"/>
        <v>43</v>
      </c>
      <c r="L29" s="17">
        <f t="shared" si="4"/>
        <v>83</v>
      </c>
    </row>
    <row r="30" spans="2:12" s="9" customFormat="1" ht="23.1" customHeight="1">
      <c r="B30" s="19">
        <v>22</v>
      </c>
      <c r="C30" s="14" t="s">
        <v>481</v>
      </c>
      <c r="D30" s="15">
        <v>6012619</v>
      </c>
      <c r="E30" s="16">
        <v>15</v>
      </c>
      <c r="F30" s="16">
        <v>15</v>
      </c>
      <c r="G30" s="16">
        <v>15</v>
      </c>
      <c r="H30" s="17">
        <f t="shared" si="2"/>
        <v>40</v>
      </c>
      <c r="I30" s="17">
        <v>23</v>
      </c>
      <c r="J30" s="17">
        <v>27</v>
      </c>
      <c r="K30" s="17">
        <f t="shared" si="3"/>
        <v>50</v>
      </c>
      <c r="L30" s="17">
        <f t="shared" si="4"/>
        <v>90</v>
      </c>
    </row>
    <row r="31" spans="2:12" s="9" customFormat="1" ht="23.1" customHeight="1">
      <c r="B31" s="19">
        <v>23</v>
      </c>
      <c r="C31" s="18" t="s">
        <v>489</v>
      </c>
      <c r="D31" s="15">
        <v>5443451</v>
      </c>
      <c r="E31" s="16">
        <v>15</v>
      </c>
      <c r="F31" s="16">
        <v>15</v>
      </c>
      <c r="G31" s="16">
        <v>15</v>
      </c>
      <c r="H31" s="17">
        <f t="shared" si="2"/>
        <v>40</v>
      </c>
      <c r="I31" s="17">
        <v>23</v>
      </c>
      <c r="J31" s="17">
        <v>23</v>
      </c>
      <c r="K31" s="17">
        <f t="shared" si="3"/>
        <v>46</v>
      </c>
      <c r="L31" s="17">
        <f t="shared" si="4"/>
        <v>86</v>
      </c>
    </row>
    <row r="32" spans="2:12" s="9" customFormat="1" ht="23.1" customHeight="1">
      <c r="B32" s="19">
        <v>24</v>
      </c>
      <c r="C32" s="14" t="s">
        <v>507</v>
      </c>
      <c r="D32" s="15">
        <v>5759514</v>
      </c>
      <c r="E32" s="16">
        <v>13</v>
      </c>
      <c r="F32" s="16">
        <v>14</v>
      </c>
      <c r="G32" s="16">
        <v>14</v>
      </c>
      <c r="H32" s="17">
        <f t="shared" si="2"/>
        <v>36.44444444444445</v>
      </c>
      <c r="I32" s="17">
        <v>20</v>
      </c>
      <c r="J32" s="17">
        <v>23</v>
      </c>
      <c r="K32" s="17">
        <f t="shared" si="3"/>
        <v>43</v>
      </c>
      <c r="L32" s="17">
        <f t="shared" si="4"/>
        <v>79.444444444444457</v>
      </c>
    </row>
    <row r="33" spans="2:12" s="9" customFormat="1" ht="23.1" customHeight="1">
      <c r="B33" s="19">
        <v>25</v>
      </c>
      <c r="C33" s="14" t="s">
        <v>482</v>
      </c>
      <c r="D33" s="15">
        <v>5420036</v>
      </c>
      <c r="E33" s="16">
        <v>15</v>
      </c>
      <c r="F33" s="16">
        <v>15</v>
      </c>
      <c r="G33" s="16">
        <v>15</v>
      </c>
      <c r="H33" s="17">
        <f t="shared" si="2"/>
        <v>40</v>
      </c>
      <c r="I33" s="17">
        <v>26</v>
      </c>
      <c r="J33" s="17">
        <v>24</v>
      </c>
      <c r="K33" s="17">
        <f t="shared" si="3"/>
        <v>50</v>
      </c>
      <c r="L33" s="17">
        <f t="shared" si="4"/>
        <v>90</v>
      </c>
    </row>
    <row r="34" spans="2:12" s="9" customFormat="1" ht="23.1" customHeight="1">
      <c r="B34" s="19">
        <v>26</v>
      </c>
      <c r="C34" s="14" t="s">
        <v>483</v>
      </c>
      <c r="D34" s="15">
        <v>5968587</v>
      </c>
      <c r="E34" s="16">
        <v>15</v>
      </c>
      <c r="F34" s="16">
        <v>15</v>
      </c>
      <c r="G34" s="16">
        <v>15</v>
      </c>
      <c r="H34" s="17">
        <f t="shared" si="2"/>
        <v>40</v>
      </c>
      <c r="I34" s="17">
        <v>27</v>
      </c>
      <c r="J34" s="17">
        <v>23</v>
      </c>
      <c r="K34" s="17">
        <f t="shared" si="3"/>
        <v>50</v>
      </c>
      <c r="L34" s="17">
        <f t="shared" si="4"/>
        <v>90</v>
      </c>
    </row>
    <row r="35" spans="2:12" s="9" customFormat="1" ht="23.1" customHeight="1">
      <c r="B35" s="19">
        <v>27</v>
      </c>
      <c r="C35" s="14" t="s">
        <v>485</v>
      </c>
      <c r="D35" s="15">
        <v>5725677</v>
      </c>
      <c r="E35" s="16">
        <v>15</v>
      </c>
      <c r="F35" s="16">
        <v>15</v>
      </c>
      <c r="G35" s="16">
        <v>15</v>
      </c>
      <c r="H35" s="17">
        <f t="shared" si="2"/>
        <v>40</v>
      </c>
      <c r="I35" s="17">
        <v>24</v>
      </c>
      <c r="J35" s="17">
        <v>25</v>
      </c>
      <c r="K35" s="17">
        <f t="shared" si="3"/>
        <v>49</v>
      </c>
      <c r="L35" s="17">
        <f t="shared" si="4"/>
        <v>89</v>
      </c>
    </row>
    <row r="36" spans="2:12" s="9" customFormat="1" ht="23.1" customHeight="1">
      <c r="B36" s="19">
        <v>28</v>
      </c>
      <c r="C36" s="14" t="s">
        <v>504</v>
      </c>
      <c r="D36" s="15">
        <v>5554309</v>
      </c>
      <c r="E36" s="16">
        <v>15</v>
      </c>
      <c r="F36" s="16">
        <v>15</v>
      </c>
      <c r="G36" s="16">
        <v>15</v>
      </c>
      <c r="H36" s="17">
        <f t="shared" si="2"/>
        <v>40</v>
      </c>
      <c r="I36" s="17">
        <v>19</v>
      </c>
      <c r="J36" s="17">
        <v>22</v>
      </c>
      <c r="K36" s="17">
        <f t="shared" si="3"/>
        <v>41</v>
      </c>
      <c r="L36" s="17">
        <f t="shared" si="4"/>
        <v>81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>
      <selection activeCell="B1" sqref="B1:L1"/>
    </sheetView>
  </sheetViews>
  <sheetFormatPr baseColWidth="10" defaultRowHeight="15"/>
  <cols>
    <col min="1" max="1" width="2.42578125" customWidth="1"/>
    <col min="2" max="2" width="4.85546875" bestFit="1" customWidth="1"/>
    <col min="3" max="3" width="41.5703125" customWidth="1"/>
    <col min="4" max="4" width="10.85546875" bestFit="1" customWidth="1"/>
    <col min="5" max="7" width="5.7109375" customWidth="1"/>
    <col min="8" max="8" width="7.7109375" customWidth="1"/>
    <col min="9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23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25" t="s">
        <v>10</v>
      </c>
      <c r="F7" s="25" t="s">
        <v>11</v>
      </c>
      <c r="G7" s="25" t="s">
        <v>12</v>
      </c>
      <c r="H7" s="29"/>
      <c r="I7" s="24" t="s">
        <v>13</v>
      </c>
      <c r="J7" s="24" t="s">
        <v>14</v>
      </c>
      <c r="K7" s="29"/>
      <c r="L7" s="29"/>
    </row>
    <row r="8" spans="2:12">
      <c r="B8" s="30" t="s">
        <v>16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529</v>
      </c>
      <c r="D9" s="15">
        <v>7066565</v>
      </c>
      <c r="E9" s="16">
        <v>15</v>
      </c>
      <c r="F9" s="16">
        <v>15</v>
      </c>
      <c r="G9" s="16">
        <v>15</v>
      </c>
      <c r="H9" s="17">
        <f t="shared" ref="H9:H36" si="2">SUM(E9:G9)*100/45*0.4</f>
        <v>40</v>
      </c>
      <c r="I9" s="17">
        <v>15</v>
      </c>
      <c r="J9" s="17">
        <v>20</v>
      </c>
      <c r="K9" s="17">
        <f t="shared" ref="K9:K36" si="3">SUM(I9:J9)</f>
        <v>35</v>
      </c>
      <c r="L9" s="17">
        <f t="shared" ref="L9:L36" si="4">H9+K9</f>
        <v>75</v>
      </c>
    </row>
    <row r="10" spans="2:12" s="9" customFormat="1" ht="23.1" customHeight="1">
      <c r="B10" s="19">
        <v>2</v>
      </c>
      <c r="C10" s="14" t="s">
        <v>534</v>
      </c>
      <c r="D10" s="15">
        <v>5459321</v>
      </c>
      <c r="E10" s="16">
        <v>14</v>
      </c>
      <c r="F10" s="16">
        <v>15</v>
      </c>
      <c r="G10" s="16">
        <v>15</v>
      </c>
      <c r="H10" s="17">
        <f t="shared" si="2"/>
        <v>39.111111111111114</v>
      </c>
      <c r="I10" s="17">
        <v>15</v>
      </c>
      <c r="J10" s="17">
        <v>19</v>
      </c>
      <c r="K10" s="17">
        <f t="shared" si="3"/>
        <v>34</v>
      </c>
      <c r="L10" s="17">
        <f t="shared" si="4"/>
        <v>73.111111111111114</v>
      </c>
    </row>
    <row r="11" spans="2:12" s="9" customFormat="1" ht="23.1" customHeight="1">
      <c r="B11" s="19">
        <v>3</v>
      </c>
      <c r="C11" s="14" t="s">
        <v>513</v>
      </c>
      <c r="D11" s="15">
        <v>6075644</v>
      </c>
      <c r="E11" s="16">
        <v>15</v>
      </c>
      <c r="F11" s="16">
        <v>15</v>
      </c>
      <c r="G11" s="16">
        <v>15</v>
      </c>
      <c r="H11" s="17">
        <f t="shared" si="2"/>
        <v>40</v>
      </c>
      <c r="I11" s="17">
        <v>17</v>
      </c>
      <c r="J11" s="17">
        <v>21</v>
      </c>
      <c r="K11" s="17">
        <f t="shared" si="3"/>
        <v>38</v>
      </c>
      <c r="L11" s="17">
        <f t="shared" si="4"/>
        <v>78</v>
      </c>
    </row>
    <row r="12" spans="2:12" s="9" customFormat="1" ht="23.1" customHeight="1">
      <c r="B12" s="19">
        <v>4</v>
      </c>
      <c r="C12" s="14" t="s">
        <v>509</v>
      </c>
      <c r="D12" s="15">
        <v>5708671</v>
      </c>
      <c r="E12" s="16">
        <v>15</v>
      </c>
      <c r="F12" s="16">
        <v>14</v>
      </c>
      <c r="G12" s="16">
        <v>15</v>
      </c>
      <c r="H12" s="17">
        <f t="shared" si="2"/>
        <v>39.111111111111114</v>
      </c>
      <c r="I12" s="17">
        <v>22</v>
      </c>
      <c r="J12" s="17">
        <v>18</v>
      </c>
      <c r="K12" s="17">
        <f t="shared" si="3"/>
        <v>40</v>
      </c>
      <c r="L12" s="17">
        <f t="shared" si="4"/>
        <v>79.111111111111114</v>
      </c>
    </row>
    <row r="13" spans="2:12" s="9" customFormat="1" ht="23.1" customHeight="1">
      <c r="B13" s="19">
        <v>5</v>
      </c>
      <c r="C13" s="14" t="s">
        <v>520</v>
      </c>
      <c r="D13" s="15">
        <v>6529078</v>
      </c>
      <c r="E13" s="16">
        <v>14</v>
      </c>
      <c r="F13" s="16">
        <v>15</v>
      </c>
      <c r="G13" s="16">
        <v>15</v>
      </c>
      <c r="H13" s="17">
        <f t="shared" si="2"/>
        <v>39.111111111111114</v>
      </c>
      <c r="I13" s="17">
        <v>18</v>
      </c>
      <c r="J13" s="17">
        <v>20</v>
      </c>
      <c r="K13" s="17">
        <f t="shared" si="3"/>
        <v>38</v>
      </c>
      <c r="L13" s="17">
        <f t="shared" si="4"/>
        <v>77.111111111111114</v>
      </c>
    </row>
    <row r="14" spans="2:12" s="9" customFormat="1" ht="23.1" customHeight="1">
      <c r="B14" s="19">
        <v>6</v>
      </c>
      <c r="C14" s="14" t="s">
        <v>525</v>
      </c>
      <c r="D14" s="15">
        <v>7544238</v>
      </c>
      <c r="E14" s="16">
        <v>15</v>
      </c>
      <c r="F14" s="16">
        <v>14</v>
      </c>
      <c r="G14" s="16">
        <v>11</v>
      </c>
      <c r="H14" s="17">
        <f t="shared" si="2"/>
        <v>35.555555555555557</v>
      </c>
      <c r="I14" s="17">
        <v>20</v>
      </c>
      <c r="J14" s="17">
        <v>21</v>
      </c>
      <c r="K14" s="17">
        <f t="shared" si="3"/>
        <v>41</v>
      </c>
      <c r="L14" s="17">
        <f t="shared" si="4"/>
        <v>76.555555555555557</v>
      </c>
    </row>
    <row r="15" spans="2:12" s="9" customFormat="1" ht="23.1" customHeight="1">
      <c r="B15" s="19">
        <v>7</v>
      </c>
      <c r="C15" s="14" t="s">
        <v>514</v>
      </c>
      <c r="D15" s="15">
        <v>5203564</v>
      </c>
      <c r="E15" s="16">
        <v>15</v>
      </c>
      <c r="F15" s="16">
        <v>15</v>
      </c>
      <c r="G15" s="16">
        <v>15</v>
      </c>
      <c r="H15" s="17">
        <f t="shared" si="2"/>
        <v>40</v>
      </c>
      <c r="I15" s="17">
        <v>15</v>
      </c>
      <c r="J15" s="17">
        <v>23</v>
      </c>
      <c r="K15" s="17">
        <f t="shared" si="3"/>
        <v>38</v>
      </c>
      <c r="L15" s="17">
        <f t="shared" si="4"/>
        <v>78</v>
      </c>
    </row>
    <row r="16" spans="2:12" s="9" customFormat="1" ht="23.1" customHeight="1">
      <c r="B16" s="19">
        <v>8</v>
      </c>
      <c r="C16" s="14" t="s">
        <v>521</v>
      </c>
      <c r="D16" s="15">
        <v>5924686</v>
      </c>
      <c r="E16" s="16">
        <v>14</v>
      </c>
      <c r="F16" s="16">
        <v>15</v>
      </c>
      <c r="G16" s="16">
        <v>15</v>
      </c>
      <c r="H16" s="17">
        <f t="shared" si="2"/>
        <v>39.111111111111114</v>
      </c>
      <c r="I16" s="17">
        <v>17</v>
      </c>
      <c r="J16" s="17">
        <v>21</v>
      </c>
      <c r="K16" s="17">
        <f t="shared" si="3"/>
        <v>38</v>
      </c>
      <c r="L16" s="17">
        <f t="shared" si="4"/>
        <v>77.111111111111114</v>
      </c>
    </row>
    <row r="17" spans="2:12" s="9" customFormat="1" ht="23.1" customHeight="1">
      <c r="B17" s="19">
        <v>9</v>
      </c>
      <c r="C17" s="14" t="s">
        <v>530</v>
      </c>
      <c r="D17" s="15">
        <v>6128495</v>
      </c>
      <c r="E17" s="16">
        <v>15</v>
      </c>
      <c r="F17" s="16">
        <v>15</v>
      </c>
      <c r="G17" s="16">
        <v>15</v>
      </c>
      <c r="H17" s="17">
        <f t="shared" si="2"/>
        <v>40</v>
      </c>
      <c r="I17" s="17">
        <v>16</v>
      </c>
      <c r="J17" s="17">
        <v>19</v>
      </c>
      <c r="K17" s="17">
        <f t="shared" si="3"/>
        <v>35</v>
      </c>
      <c r="L17" s="17">
        <f t="shared" si="4"/>
        <v>75</v>
      </c>
    </row>
    <row r="18" spans="2:12" s="9" customFormat="1" ht="23.1" customHeight="1">
      <c r="B18" s="19">
        <v>10</v>
      </c>
      <c r="C18" s="14" t="s">
        <v>518</v>
      </c>
      <c r="D18" s="15">
        <v>6286119</v>
      </c>
      <c r="E18" s="16">
        <v>14</v>
      </c>
      <c r="F18" s="16">
        <v>13</v>
      </c>
      <c r="G18" s="16">
        <v>14</v>
      </c>
      <c r="H18" s="17">
        <f t="shared" si="2"/>
        <v>36.44444444444445</v>
      </c>
      <c r="I18" s="17">
        <v>19</v>
      </c>
      <c r="J18" s="17">
        <v>22</v>
      </c>
      <c r="K18" s="17">
        <f t="shared" si="3"/>
        <v>41</v>
      </c>
      <c r="L18" s="17">
        <f t="shared" si="4"/>
        <v>77.444444444444457</v>
      </c>
    </row>
    <row r="19" spans="2:12" s="9" customFormat="1" ht="23.1" customHeight="1">
      <c r="B19" s="19">
        <v>11</v>
      </c>
      <c r="C19" s="14" t="s">
        <v>526</v>
      </c>
      <c r="D19" s="15">
        <v>5497892</v>
      </c>
      <c r="E19" s="16">
        <v>15</v>
      </c>
      <c r="F19" s="16">
        <v>15</v>
      </c>
      <c r="G19" s="16">
        <v>15</v>
      </c>
      <c r="H19" s="17">
        <f t="shared" si="2"/>
        <v>40</v>
      </c>
      <c r="I19" s="17">
        <v>19</v>
      </c>
      <c r="J19" s="17">
        <v>17</v>
      </c>
      <c r="K19" s="17">
        <f t="shared" si="3"/>
        <v>36</v>
      </c>
      <c r="L19" s="17">
        <f t="shared" si="4"/>
        <v>76</v>
      </c>
    </row>
    <row r="20" spans="2:12" s="9" customFormat="1" ht="23.1" customHeight="1">
      <c r="B20" s="19">
        <v>12</v>
      </c>
      <c r="C20" s="14" t="s">
        <v>536</v>
      </c>
      <c r="D20" s="15">
        <v>6196259</v>
      </c>
      <c r="E20" s="16">
        <v>15</v>
      </c>
      <c r="F20" s="16">
        <v>15</v>
      </c>
      <c r="G20" s="16">
        <v>15</v>
      </c>
      <c r="H20" s="17">
        <f t="shared" si="2"/>
        <v>40</v>
      </c>
      <c r="I20" s="17">
        <v>12</v>
      </c>
      <c r="J20" s="17">
        <v>20</v>
      </c>
      <c r="K20" s="17">
        <f t="shared" si="3"/>
        <v>32</v>
      </c>
      <c r="L20" s="17">
        <f t="shared" si="4"/>
        <v>72</v>
      </c>
    </row>
    <row r="21" spans="2:12" s="9" customFormat="1" ht="23.1" customHeight="1">
      <c r="B21" s="19">
        <v>13</v>
      </c>
      <c r="C21" s="14" t="s">
        <v>528</v>
      </c>
      <c r="D21" s="15">
        <v>5151291</v>
      </c>
      <c r="E21" s="16">
        <v>15</v>
      </c>
      <c r="F21" s="16">
        <v>15</v>
      </c>
      <c r="G21" s="16">
        <v>14</v>
      </c>
      <c r="H21" s="17">
        <f t="shared" si="2"/>
        <v>39.111111111111114</v>
      </c>
      <c r="I21" s="17">
        <v>18</v>
      </c>
      <c r="J21" s="17">
        <v>18</v>
      </c>
      <c r="K21" s="17">
        <f t="shared" si="3"/>
        <v>36</v>
      </c>
      <c r="L21" s="17">
        <f t="shared" si="4"/>
        <v>75.111111111111114</v>
      </c>
    </row>
    <row r="22" spans="2:12" s="9" customFormat="1" ht="23.1" customHeight="1">
      <c r="B22" s="19">
        <v>14</v>
      </c>
      <c r="C22" s="14" t="s">
        <v>515</v>
      </c>
      <c r="D22" s="15">
        <v>6005288</v>
      </c>
      <c r="E22" s="16">
        <v>15</v>
      </c>
      <c r="F22" s="16">
        <v>15</v>
      </c>
      <c r="G22" s="16">
        <v>15</v>
      </c>
      <c r="H22" s="17">
        <f t="shared" si="2"/>
        <v>40</v>
      </c>
      <c r="I22" s="17">
        <v>16</v>
      </c>
      <c r="J22" s="17">
        <v>22</v>
      </c>
      <c r="K22" s="17">
        <f t="shared" si="3"/>
        <v>38</v>
      </c>
      <c r="L22" s="17">
        <f t="shared" si="4"/>
        <v>78</v>
      </c>
    </row>
    <row r="23" spans="2:12" s="9" customFormat="1" ht="23.1" customHeight="1">
      <c r="B23" s="19">
        <v>15</v>
      </c>
      <c r="C23" s="14" t="s">
        <v>524</v>
      </c>
      <c r="D23" s="15">
        <v>5991414</v>
      </c>
      <c r="E23" s="16">
        <v>12</v>
      </c>
      <c r="F23" s="16">
        <v>11</v>
      </c>
      <c r="G23" s="16">
        <v>15</v>
      </c>
      <c r="H23" s="17">
        <f t="shared" si="2"/>
        <v>33.777777777777779</v>
      </c>
      <c r="I23" s="17">
        <v>23</v>
      </c>
      <c r="J23" s="17">
        <v>20</v>
      </c>
      <c r="K23" s="17">
        <f t="shared" si="3"/>
        <v>43</v>
      </c>
      <c r="L23" s="17">
        <f t="shared" si="4"/>
        <v>76.777777777777771</v>
      </c>
    </row>
    <row r="24" spans="2:12" s="9" customFormat="1" ht="23.1" customHeight="1">
      <c r="B24" s="19">
        <v>16</v>
      </c>
      <c r="C24" s="14" t="s">
        <v>522</v>
      </c>
      <c r="D24" s="15">
        <v>5722259</v>
      </c>
      <c r="E24" s="16">
        <v>15</v>
      </c>
      <c r="F24" s="16">
        <v>15</v>
      </c>
      <c r="G24" s="16">
        <v>15</v>
      </c>
      <c r="H24" s="17">
        <f t="shared" si="2"/>
        <v>40</v>
      </c>
      <c r="I24" s="17">
        <v>18</v>
      </c>
      <c r="J24" s="17">
        <v>19</v>
      </c>
      <c r="K24" s="17">
        <f t="shared" si="3"/>
        <v>37</v>
      </c>
      <c r="L24" s="17">
        <f t="shared" si="4"/>
        <v>77</v>
      </c>
    </row>
    <row r="25" spans="2:12" s="9" customFormat="1" ht="23.1" customHeight="1">
      <c r="B25" s="19">
        <v>17</v>
      </c>
      <c r="C25" s="14" t="s">
        <v>527</v>
      </c>
      <c r="D25" s="15">
        <v>5526664</v>
      </c>
      <c r="E25" s="16">
        <v>14</v>
      </c>
      <c r="F25" s="16">
        <v>11</v>
      </c>
      <c r="G25" s="16">
        <v>15</v>
      </c>
      <c r="H25" s="17">
        <f t="shared" si="2"/>
        <v>35.555555555555557</v>
      </c>
      <c r="I25" s="17">
        <v>18</v>
      </c>
      <c r="J25" s="17">
        <v>22</v>
      </c>
      <c r="K25" s="17">
        <f t="shared" si="3"/>
        <v>40</v>
      </c>
      <c r="L25" s="17">
        <f t="shared" si="4"/>
        <v>75.555555555555557</v>
      </c>
    </row>
    <row r="26" spans="2:12" s="9" customFormat="1" ht="23.1" customHeight="1">
      <c r="B26" s="19">
        <v>18</v>
      </c>
      <c r="C26" s="14" t="s">
        <v>512</v>
      </c>
      <c r="D26" s="15">
        <v>5114917</v>
      </c>
      <c r="E26" s="16">
        <v>12</v>
      </c>
      <c r="F26" s="16">
        <v>10</v>
      </c>
      <c r="G26" s="16">
        <v>15</v>
      </c>
      <c r="H26" s="17">
        <f t="shared" si="2"/>
        <v>32.888888888888893</v>
      </c>
      <c r="I26" s="17">
        <v>26</v>
      </c>
      <c r="J26" s="17">
        <v>20</v>
      </c>
      <c r="K26" s="17">
        <f t="shared" si="3"/>
        <v>46</v>
      </c>
      <c r="L26" s="17">
        <f t="shared" si="4"/>
        <v>78.888888888888886</v>
      </c>
    </row>
    <row r="27" spans="2:12" s="9" customFormat="1" ht="23.1" customHeight="1">
      <c r="B27" s="19">
        <v>19</v>
      </c>
      <c r="C27" s="14" t="s">
        <v>531</v>
      </c>
      <c r="D27" s="15">
        <v>5418243</v>
      </c>
      <c r="E27" s="16">
        <v>15</v>
      </c>
      <c r="F27" s="16">
        <v>15</v>
      </c>
      <c r="G27" s="16">
        <v>15</v>
      </c>
      <c r="H27" s="17">
        <f t="shared" si="2"/>
        <v>40</v>
      </c>
      <c r="I27" s="17">
        <v>13</v>
      </c>
      <c r="J27" s="17">
        <v>22</v>
      </c>
      <c r="K27" s="17">
        <f t="shared" si="3"/>
        <v>35</v>
      </c>
      <c r="L27" s="17">
        <f t="shared" si="4"/>
        <v>75</v>
      </c>
    </row>
    <row r="28" spans="2:12" s="9" customFormat="1" ht="23.1" customHeight="1">
      <c r="B28" s="19">
        <v>20</v>
      </c>
      <c r="C28" s="14" t="s">
        <v>516</v>
      </c>
      <c r="D28" s="15">
        <v>5531134</v>
      </c>
      <c r="E28" s="16">
        <v>15</v>
      </c>
      <c r="F28" s="16">
        <v>15</v>
      </c>
      <c r="G28" s="16">
        <v>15</v>
      </c>
      <c r="H28" s="17">
        <f t="shared" si="2"/>
        <v>40</v>
      </c>
      <c r="I28" s="17">
        <v>19</v>
      </c>
      <c r="J28" s="17">
        <v>19</v>
      </c>
      <c r="K28" s="17">
        <f t="shared" si="3"/>
        <v>38</v>
      </c>
      <c r="L28" s="17">
        <f t="shared" si="4"/>
        <v>78</v>
      </c>
    </row>
    <row r="29" spans="2:12" s="9" customFormat="1" ht="23.1" customHeight="1">
      <c r="B29" s="19">
        <v>21</v>
      </c>
      <c r="C29" s="14" t="s">
        <v>533</v>
      </c>
      <c r="D29" s="15">
        <v>6704871</v>
      </c>
      <c r="E29" s="16">
        <v>15</v>
      </c>
      <c r="F29" s="16">
        <v>14</v>
      </c>
      <c r="G29" s="16">
        <v>15</v>
      </c>
      <c r="H29" s="17">
        <f t="shared" si="2"/>
        <v>39.111111111111114</v>
      </c>
      <c r="I29" s="17">
        <v>15</v>
      </c>
      <c r="J29" s="17">
        <v>20</v>
      </c>
      <c r="K29" s="17">
        <f t="shared" si="3"/>
        <v>35</v>
      </c>
      <c r="L29" s="17">
        <f t="shared" si="4"/>
        <v>74.111111111111114</v>
      </c>
    </row>
    <row r="30" spans="2:12" s="9" customFormat="1" ht="23.1" customHeight="1">
      <c r="B30" s="19">
        <v>22</v>
      </c>
      <c r="C30" s="14" t="s">
        <v>510</v>
      </c>
      <c r="D30" s="15">
        <v>5289849</v>
      </c>
      <c r="E30" s="16">
        <v>15</v>
      </c>
      <c r="F30" s="16">
        <v>15</v>
      </c>
      <c r="G30" s="16">
        <v>15</v>
      </c>
      <c r="H30" s="17">
        <f t="shared" si="2"/>
        <v>40</v>
      </c>
      <c r="I30" s="17">
        <v>19</v>
      </c>
      <c r="J30" s="17">
        <v>20</v>
      </c>
      <c r="K30" s="17">
        <f t="shared" si="3"/>
        <v>39</v>
      </c>
      <c r="L30" s="17">
        <f t="shared" si="4"/>
        <v>79</v>
      </c>
    </row>
    <row r="31" spans="2:12" s="9" customFormat="1" ht="23.1" customHeight="1">
      <c r="B31" s="19">
        <v>23</v>
      </c>
      <c r="C31" s="14" t="s">
        <v>523</v>
      </c>
      <c r="D31" s="15">
        <v>5295858</v>
      </c>
      <c r="E31" s="16">
        <v>15</v>
      </c>
      <c r="F31" s="16">
        <v>15</v>
      </c>
      <c r="G31" s="16">
        <v>15</v>
      </c>
      <c r="H31" s="17">
        <f t="shared" si="2"/>
        <v>40</v>
      </c>
      <c r="I31" s="17">
        <v>16</v>
      </c>
      <c r="J31" s="17">
        <v>21</v>
      </c>
      <c r="K31" s="17">
        <f t="shared" si="3"/>
        <v>37</v>
      </c>
      <c r="L31" s="17">
        <f t="shared" si="4"/>
        <v>77</v>
      </c>
    </row>
    <row r="32" spans="2:12" s="9" customFormat="1" ht="23.1" customHeight="1">
      <c r="B32" s="19">
        <v>24</v>
      </c>
      <c r="C32" s="14" t="s">
        <v>532</v>
      </c>
      <c r="D32" s="15">
        <v>5385155</v>
      </c>
      <c r="E32" s="16">
        <v>15</v>
      </c>
      <c r="F32" s="16">
        <v>15</v>
      </c>
      <c r="G32" s="16">
        <v>15</v>
      </c>
      <c r="H32" s="17">
        <f t="shared" si="2"/>
        <v>40</v>
      </c>
      <c r="I32" s="17">
        <v>16</v>
      </c>
      <c r="J32" s="17">
        <v>19</v>
      </c>
      <c r="K32" s="17">
        <f t="shared" si="3"/>
        <v>35</v>
      </c>
      <c r="L32" s="17">
        <f t="shared" si="4"/>
        <v>75</v>
      </c>
    </row>
    <row r="33" spans="2:12" s="9" customFormat="1" ht="23.1" customHeight="1">
      <c r="B33" s="19">
        <v>25</v>
      </c>
      <c r="C33" s="14" t="s">
        <v>519</v>
      </c>
      <c r="D33" s="15">
        <v>5713493</v>
      </c>
      <c r="E33" s="16">
        <v>15</v>
      </c>
      <c r="F33" s="16">
        <v>12</v>
      </c>
      <c r="G33" s="16">
        <v>15</v>
      </c>
      <c r="H33" s="17">
        <f t="shared" si="2"/>
        <v>37.333333333333336</v>
      </c>
      <c r="I33" s="17">
        <v>22</v>
      </c>
      <c r="J33" s="17">
        <v>18</v>
      </c>
      <c r="K33" s="17">
        <f t="shared" si="3"/>
        <v>40</v>
      </c>
      <c r="L33" s="17">
        <f t="shared" si="4"/>
        <v>77.333333333333343</v>
      </c>
    </row>
    <row r="34" spans="2:12" s="9" customFormat="1" ht="23.1" customHeight="1">
      <c r="B34" s="19">
        <v>26</v>
      </c>
      <c r="C34" s="14" t="s">
        <v>511</v>
      </c>
      <c r="D34" s="15">
        <v>7781236</v>
      </c>
      <c r="E34" s="16">
        <v>15</v>
      </c>
      <c r="F34" s="16">
        <v>15</v>
      </c>
      <c r="G34" s="16">
        <v>15</v>
      </c>
      <c r="H34" s="17">
        <f t="shared" si="2"/>
        <v>40</v>
      </c>
      <c r="I34" s="17">
        <v>21</v>
      </c>
      <c r="J34" s="17">
        <v>18</v>
      </c>
      <c r="K34" s="17">
        <f t="shared" si="3"/>
        <v>39</v>
      </c>
      <c r="L34" s="17">
        <f t="shared" si="4"/>
        <v>79</v>
      </c>
    </row>
    <row r="35" spans="2:12" s="9" customFormat="1" ht="23.1" customHeight="1">
      <c r="B35" s="19">
        <v>27</v>
      </c>
      <c r="C35" s="14" t="s">
        <v>517</v>
      </c>
      <c r="D35" s="15">
        <v>5481711</v>
      </c>
      <c r="E35" s="16">
        <v>15</v>
      </c>
      <c r="F35" s="16">
        <v>15</v>
      </c>
      <c r="G35" s="16">
        <v>15</v>
      </c>
      <c r="H35" s="17">
        <f t="shared" si="2"/>
        <v>40</v>
      </c>
      <c r="I35" s="17">
        <v>15</v>
      </c>
      <c r="J35" s="17">
        <v>23</v>
      </c>
      <c r="K35" s="17">
        <f t="shared" si="3"/>
        <v>38</v>
      </c>
      <c r="L35" s="17">
        <f t="shared" si="4"/>
        <v>78</v>
      </c>
    </row>
    <row r="36" spans="2:12" s="9" customFormat="1" ht="23.1" customHeight="1">
      <c r="B36" s="19">
        <v>28</v>
      </c>
      <c r="C36" s="14" t="s">
        <v>535</v>
      </c>
      <c r="D36" s="15">
        <v>6062470</v>
      </c>
      <c r="E36" s="16">
        <v>14</v>
      </c>
      <c r="F36" s="16">
        <v>11</v>
      </c>
      <c r="G36" s="16">
        <v>10</v>
      </c>
      <c r="H36" s="17">
        <f t="shared" si="2"/>
        <v>31.111111111111111</v>
      </c>
      <c r="I36" s="17">
        <v>24</v>
      </c>
      <c r="J36" s="17">
        <v>17</v>
      </c>
      <c r="K36" s="17">
        <f t="shared" si="3"/>
        <v>41</v>
      </c>
      <c r="L36" s="17">
        <f t="shared" si="4"/>
        <v>72.111111111111114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topLeftCell="A25" workbookViewId="0">
      <selection activeCell="P11" sqref="P11"/>
    </sheetView>
  </sheetViews>
  <sheetFormatPr baseColWidth="10" defaultRowHeight="15"/>
  <cols>
    <col min="1" max="1" width="2.5703125" customWidth="1"/>
    <col min="2" max="2" width="3.5703125" bestFit="1" customWidth="1"/>
    <col min="3" max="3" width="44.7109375" customWidth="1"/>
    <col min="4" max="4" width="10" bestFit="1" customWidth="1"/>
    <col min="5" max="7" width="5.7109375" customWidth="1"/>
    <col min="8" max="12" width="6.7109375" customWidth="1"/>
  </cols>
  <sheetData>
    <row r="1" spans="2:12">
      <c r="B1" s="33" t="s">
        <v>565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2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>
      <c r="B4" s="33" t="s">
        <v>32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5" t="s">
        <v>25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5.1" customHeight="1">
      <c r="B6" s="36" t="s">
        <v>2</v>
      </c>
      <c r="C6" s="36" t="s">
        <v>3</v>
      </c>
      <c r="D6" s="37" t="s">
        <v>4</v>
      </c>
      <c r="E6" s="38" t="s">
        <v>5</v>
      </c>
      <c r="F6" s="38"/>
      <c r="G6" s="38"/>
      <c r="H6" s="28" t="s">
        <v>6</v>
      </c>
      <c r="I6" s="1" t="s">
        <v>7</v>
      </c>
      <c r="J6" s="1" t="s">
        <v>7</v>
      </c>
      <c r="K6" s="28" t="s">
        <v>8</v>
      </c>
      <c r="L6" s="28" t="s">
        <v>9</v>
      </c>
    </row>
    <row r="7" spans="2:12" ht="30" customHeight="1">
      <c r="B7" s="36"/>
      <c r="C7" s="36"/>
      <c r="D7" s="37"/>
      <c r="E7" s="25" t="s">
        <v>10</v>
      </c>
      <c r="F7" s="25" t="s">
        <v>11</v>
      </c>
      <c r="G7" s="25" t="s">
        <v>12</v>
      </c>
      <c r="H7" s="29"/>
      <c r="I7" s="24" t="s">
        <v>13</v>
      </c>
      <c r="J7" s="24" t="s">
        <v>14</v>
      </c>
      <c r="K7" s="29"/>
      <c r="L7" s="29"/>
    </row>
    <row r="8" spans="2:12">
      <c r="B8" s="30" t="s">
        <v>16</v>
      </c>
      <c r="C8" s="31"/>
      <c r="D8" s="32"/>
      <c r="E8" s="2">
        <v>15</v>
      </c>
      <c r="F8" s="2">
        <v>15</v>
      </c>
      <c r="G8" s="2">
        <v>15</v>
      </c>
      <c r="H8" s="3">
        <f t="shared" ref="H8" si="0">SUM(E8:G8)*100/45*0.4</f>
        <v>40</v>
      </c>
      <c r="I8" s="2">
        <v>30</v>
      </c>
      <c r="J8" s="2">
        <v>30</v>
      </c>
      <c r="K8" s="3">
        <f t="shared" ref="K8" si="1">SUM(I8:J8)</f>
        <v>60</v>
      </c>
      <c r="L8" s="4">
        <f>K8+H8</f>
        <v>100</v>
      </c>
    </row>
    <row r="9" spans="2:12" s="9" customFormat="1" ht="23.1" customHeight="1">
      <c r="B9" s="19">
        <v>1</v>
      </c>
      <c r="C9" s="14" t="s">
        <v>555</v>
      </c>
      <c r="D9" s="15">
        <v>7063610</v>
      </c>
      <c r="E9" s="16">
        <v>13</v>
      </c>
      <c r="F9" s="16">
        <v>12</v>
      </c>
      <c r="G9" s="16">
        <v>13</v>
      </c>
      <c r="H9" s="17">
        <f t="shared" ref="H9:H36" si="2">SUM(E9:G9)*100/45*0.4</f>
        <v>33.777777777777779</v>
      </c>
      <c r="I9" s="17">
        <v>17</v>
      </c>
      <c r="J9" s="17">
        <v>18</v>
      </c>
      <c r="K9" s="17">
        <f t="shared" ref="K9:K36" si="3">SUM(I9:J9)</f>
        <v>35</v>
      </c>
      <c r="L9" s="17">
        <f t="shared" ref="L9:L36" si="4">H9+K9</f>
        <v>68.777777777777771</v>
      </c>
    </row>
    <row r="10" spans="2:12" s="9" customFormat="1" ht="23.1" customHeight="1">
      <c r="B10" s="19">
        <v>2</v>
      </c>
      <c r="C10" s="14" t="s">
        <v>564</v>
      </c>
      <c r="D10" s="15">
        <v>5720797</v>
      </c>
      <c r="E10" s="16">
        <v>14</v>
      </c>
      <c r="F10" s="16">
        <v>11</v>
      </c>
      <c r="G10" s="16">
        <v>14</v>
      </c>
      <c r="H10" s="17">
        <f t="shared" si="2"/>
        <v>34.666666666666671</v>
      </c>
      <c r="I10" s="17">
        <v>16</v>
      </c>
      <c r="J10" s="17">
        <v>17</v>
      </c>
      <c r="K10" s="17">
        <f t="shared" si="3"/>
        <v>33</v>
      </c>
      <c r="L10" s="17">
        <f t="shared" si="4"/>
        <v>67.666666666666671</v>
      </c>
    </row>
    <row r="11" spans="2:12" s="9" customFormat="1" ht="23.1" customHeight="1">
      <c r="B11" s="19">
        <v>3</v>
      </c>
      <c r="C11" s="14" t="s">
        <v>546</v>
      </c>
      <c r="D11" s="15">
        <v>5307810</v>
      </c>
      <c r="E11" s="16">
        <v>11</v>
      </c>
      <c r="F11" s="16">
        <v>10</v>
      </c>
      <c r="G11" s="16">
        <v>14</v>
      </c>
      <c r="H11" s="17">
        <f t="shared" si="2"/>
        <v>31.111111111111111</v>
      </c>
      <c r="I11" s="17">
        <v>22</v>
      </c>
      <c r="J11" s="17">
        <v>17</v>
      </c>
      <c r="K11" s="17">
        <f t="shared" si="3"/>
        <v>39</v>
      </c>
      <c r="L11" s="17">
        <f t="shared" si="4"/>
        <v>70.111111111111114</v>
      </c>
    </row>
    <row r="12" spans="2:12" s="9" customFormat="1" ht="23.1" customHeight="1">
      <c r="B12" s="19">
        <v>4</v>
      </c>
      <c r="C12" s="14" t="s">
        <v>552</v>
      </c>
      <c r="D12" s="15">
        <v>6109442</v>
      </c>
      <c r="E12" s="16">
        <v>10</v>
      </c>
      <c r="F12" s="16">
        <v>13</v>
      </c>
      <c r="G12" s="16">
        <v>12</v>
      </c>
      <c r="H12" s="17">
        <f t="shared" si="2"/>
        <v>31.111111111111111</v>
      </c>
      <c r="I12" s="17">
        <v>19</v>
      </c>
      <c r="J12" s="17">
        <v>19</v>
      </c>
      <c r="K12" s="17">
        <f t="shared" si="3"/>
        <v>38</v>
      </c>
      <c r="L12" s="17">
        <f t="shared" si="4"/>
        <v>69.111111111111114</v>
      </c>
    </row>
    <row r="13" spans="2:12" s="9" customFormat="1" ht="23.1" customHeight="1">
      <c r="B13" s="19">
        <v>5</v>
      </c>
      <c r="C13" s="14" t="s">
        <v>538</v>
      </c>
      <c r="D13" s="15">
        <v>5383960</v>
      </c>
      <c r="E13" s="16">
        <v>15</v>
      </c>
      <c r="F13" s="16">
        <v>11</v>
      </c>
      <c r="G13" s="16">
        <v>13</v>
      </c>
      <c r="H13" s="17">
        <f t="shared" si="2"/>
        <v>34.666666666666671</v>
      </c>
      <c r="I13" s="17">
        <v>18</v>
      </c>
      <c r="J13" s="17">
        <v>19</v>
      </c>
      <c r="K13" s="17">
        <f t="shared" si="3"/>
        <v>37</v>
      </c>
      <c r="L13" s="17">
        <f t="shared" si="4"/>
        <v>71.666666666666671</v>
      </c>
    </row>
    <row r="14" spans="2:12" s="9" customFormat="1" ht="23.1" customHeight="1">
      <c r="B14" s="19">
        <v>6</v>
      </c>
      <c r="C14" s="14" t="s">
        <v>558</v>
      </c>
      <c r="D14" s="15">
        <v>5165113</v>
      </c>
      <c r="E14" s="16">
        <v>11</v>
      </c>
      <c r="F14" s="16">
        <v>15</v>
      </c>
      <c r="G14" s="16">
        <v>15</v>
      </c>
      <c r="H14" s="17">
        <f t="shared" si="2"/>
        <v>36.44444444444445</v>
      </c>
      <c r="I14" s="17">
        <v>14</v>
      </c>
      <c r="J14" s="17">
        <v>18</v>
      </c>
      <c r="K14" s="17">
        <f t="shared" si="3"/>
        <v>32</v>
      </c>
      <c r="L14" s="17">
        <f t="shared" si="4"/>
        <v>68.444444444444457</v>
      </c>
    </row>
    <row r="15" spans="2:12" s="9" customFormat="1" ht="23.1" customHeight="1">
      <c r="B15" s="19">
        <v>7</v>
      </c>
      <c r="C15" s="14" t="s">
        <v>557</v>
      </c>
      <c r="D15" s="15">
        <v>5705012</v>
      </c>
      <c r="E15" s="16">
        <v>12</v>
      </c>
      <c r="F15" s="16">
        <v>15</v>
      </c>
      <c r="G15" s="16">
        <v>12</v>
      </c>
      <c r="H15" s="17">
        <f t="shared" si="2"/>
        <v>34.666666666666671</v>
      </c>
      <c r="I15" s="17">
        <v>14</v>
      </c>
      <c r="J15" s="17">
        <v>20</v>
      </c>
      <c r="K15" s="17">
        <f t="shared" si="3"/>
        <v>34</v>
      </c>
      <c r="L15" s="17">
        <f t="shared" si="4"/>
        <v>68.666666666666671</v>
      </c>
    </row>
    <row r="16" spans="2:12" s="9" customFormat="1" ht="23.1" customHeight="1">
      <c r="B16" s="19">
        <v>8</v>
      </c>
      <c r="C16" s="14" t="s">
        <v>543</v>
      </c>
      <c r="D16" s="15">
        <v>6169686</v>
      </c>
      <c r="E16" s="16">
        <v>10</v>
      </c>
      <c r="F16" s="16">
        <v>10</v>
      </c>
      <c r="G16" s="16">
        <v>14</v>
      </c>
      <c r="H16" s="17">
        <f t="shared" si="2"/>
        <v>30.222222222222225</v>
      </c>
      <c r="I16" s="17">
        <v>22</v>
      </c>
      <c r="J16" s="17">
        <v>18</v>
      </c>
      <c r="K16" s="17">
        <f t="shared" si="3"/>
        <v>40</v>
      </c>
      <c r="L16" s="17">
        <f t="shared" si="4"/>
        <v>70.222222222222229</v>
      </c>
    </row>
    <row r="17" spans="2:12" s="9" customFormat="1" ht="23.1" customHeight="1">
      <c r="B17" s="19">
        <v>9</v>
      </c>
      <c r="C17" s="14" t="s">
        <v>547</v>
      </c>
      <c r="D17" s="15">
        <v>6143949</v>
      </c>
      <c r="E17" s="16">
        <v>14</v>
      </c>
      <c r="F17" s="16">
        <v>15</v>
      </c>
      <c r="G17" s="16">
        <v>15</v>
      </c>
      <c r="H17" s="17">
        <f t="shared" si="2"/>
        <v>39.111111111111114</v>
      </c>
      <c r="I17" s="17">
        <v>16</v>
      </c>
      <c r="J17" s="17">
        <v>15</v>
      </c>
      <c r="K17" s="17">
        <f t="shared" si="3"/>
        <v>31</v>
      </c>
      <c r="L17" s="17">
        <f t="shared" si="4"/>
        <v>70.111111111111114</v>
      </c>
    </row>
    <row r="18" spans="2:12" s="9" customFormat="1" ht="23.1" customHeight="1">
      <c r="B18" s="19">
        <v>10</v>
      </c>
      <c r="C18" s="14" t="s">
        <v>563</v>
      </c>
      <c r="D18" s="15">
        <v>5201835</v>
      </c>
      <c r="E18" s="16">
        <v>15</v>
      </c>
      <c r="F18" s="16">
        <v>15</v>
      </c>
      <c r="G18" s="16">
        <v>15</v>
      </c>
      <c r="H18" s="17">
        <f t="shared" si="2"/>
        <v>40</v>
      </c>
      <c r="I18" s="17">
        <v>11</v>
      </c>
      <c r="J18" s="17">
        <v>17</v>
      </c>
      <c r="K18" s="17">
        <f t="shared" si="3"/>
        <v>28</v>
      </c>
      <c r="L18" s="17">
        <f t="shared" si="4"/>
        <v>68</v>
      </c>
    </row>
    <row r="19" spans="2:12" s="9" customFormat="1" ht="23.1" customHeight="1">
      <c r="B19" s="19">
        <v>11</v>
      </c>
      <c r="C19" s="14" t="s">
        <v>548</v>
      </c>
      <c r="D19" s="15">
        <v>5530814</v>
      </c>
      <c r="E19" s="16">
        <v>15</v>
      </c>
      <c r="F19" s="16">
        <v>15</v>
      </c>
      <c r="G19" s="16">
        <v>15</v>
      </c>
      <c r="H19" s="17">
        <f t="shared" si="2"/>
        <v>40</v>
      </c>
      <c r="I19" s="17">
        <v>11</v>
      </c>
      <c r="J19" s="17">
        <v>19</v>
      </c>
      <c r="K19" s="17">
        <f t="shared" si="3"/>
        <v>30</v>
      </c>
      <c r="L19" s="17">
        <f t="shared" si="4"/>
        <v>70</v>
      </c>
    </row>
    <row r="20" spans="2:12" s="9" customFormat="1" ht="23.1" customHeight="1">
      <c r="B20" s="19">
        <v>12</v>
      </c>
      <c r="C20" s="14" t="s">
        <v>540</v>
      </c>
      <c r="D20" s="15">
        <v>5431950</v>
      </c>
      <c r="E20" s="16">
        <v>10</v>
      </c>
      <c r="F20" s="16">
        <v>13</v>
      </c>
      <c r="G20" s="16">
        <v>14</v>
      </c>
      <c r="H20" s="17">
        <f t="shared" si="2"/>
        <v>32.888888888888893</v>
      </c>
      <c r="I20" s="17">
        <v>22</v>
      </c>
      <c r="J20" s="17">
        <v>16</v>
      </c>
      <c r="K20" s="17">
        <f t="shared" si="3"/>
        <v>38</v>
      </c>
      <c r="L20" s="17">
        <f t="shared" si="4"/>
        <v>70.888888888888886</v>
      </c>
    </row>
    <row r="21" spans="2:12" s="9" customFormat="1" ht="23.1" customHeight="1">
      <c r="B21" s="19">
        <v>13</v>
      </c>
      <c r="C21" s="14" t="s">
        <v>561</v>
      </c>
      <c r="D21" s="15">
        <v>5828708</v>
      </c>
      <c r="E21" s="16">
        <v>14</v>
      </c>
      <c r="F21" s="16">
        <v>14</v>
      </c>
      <c r="G21" s="16">
        <v>15</v>
      </c>
      <c r="H21" s="17">
        <f t="shared" si="2"/>
        <v>38.222222222222221</v>
      </c>
      <c r="I21" s="17">
        <v>14</v>
      </c>
      <c r="J21" s="17">
        <v>16</v>
      </c>
      <c r="K21" s="17">
        <f t="shared" si="3"/>
        <v>30</v>
      </c>
      <c r="L21" s="17">
        <f t="shared" si="4"/>
        <v>68.222222222222229</v>
      </c>
    </row>
    <row r="22" spans="2:12" s="9" customFormat="1" ht="23.1" customHeight="1">
      <c r="B22" s="19">
        <v>14</v>
      </c>
      <c r="C22" s="14" t="s">
        <v>550</v>
      </c>
      <c r="D22" s="15">
        <v>5726616</v>
      </c>
      <c r="E22" s="16">
        <v>15</v>
      </c>
      <c r="F22" s="16">
        <v>14</v>
      </c>
      <c r="G22" s="16">
        <v>14</v>
      </c>
      <c r="H22" s="17">
        <f t="shared" si="2"/>
        <v>38.222222222222221</v>
      </c>
      <c r="I22" s="17">
        <v>12</v>
      </c>
      <c r="J22" s="17">
        <v>19</v>
      </c>
      <c r="K22" s="17">
        <f t="shared" si="3"/>
        <v>31</v>
      </c>
      <c r="L22" s="17">
        <f t="shared" si="4"/>
        <v>69.222222222222229</v>
      </c>
    </row>
    <row r="23" spans="2:12" s="9" customFormat="1" ht="23.1" customHeight="1">
      <c r="B23" s="19">
        <v>15</v>
      </c>
      <c r="C23" s="14" t="s">
        <v>554</v>
      </c>
      <c r="D23" s="15">
        <v>5248443</v>
      </c>
      <c r="E23" s="16">
        <v>13</v>
      </c>
      <c r="F23" s="16">
        <v>11</v>
      </c>
      <c r="G23" s="16">
        <v>13</v>
      </c>
      <c r="H23" s="17">
        <f t="shared" si="2"/>
        <v>32.888888888888893</v>
      </c>
      <c r="I23" s="17">
        <v>20</v>
      </c>
      <c r="J23" s="17">
        <v>16</v>
      </c>
      <c r="K23" s="17">
        <f t="shared" si="3"/>
        <v>36</v>
      </c>
      <c r="L23" s="17">
        <f t="shared" si="4"/>
        <v>68.888888888888886</v>
      </c>
    </row>
    <row r="24" spans="2:12" s="9" customFormat="1" ht="23.1" customHeight="1">
      <c r="B24" s="19">
        <v>16</v>
      </c>
      <c r="C24" s="14" t="s">
        <v>560</v>
      </c>
      <c r="D24" s="15">
        <v>5741193</v>
      </c>
      <c r="E24" s="16">
        <v>12</v>
      </c>
      <c r="F24" s="16">
        <v>15</v>
      </c>
      <c r="G24" s="16">
        <v>15</v>
      </c>
      <c r="H24" s="17">
        <f t="shared" si="2"/>
        <v>37.333333333333336</v>
      </c>
      <c r="I24" s="17">
        <v>11</v>
      </c>
      <c r="J24" s="17">
        <v>20</v>
      </c>
      <c r="K24" s="17">
        <f t="shared" si="3"/>
        <v>31</v>
      </c>
      <c r="L24" s="17">
        <f t="shared" si="4"/>
        <v>68.333333333333343</v>
      </c>
    </row>
    <row r="25" spans="2:12" s="9" customFormat="1" ht="23.1" customHeight="1">
      <c r="B25" s="19">
        <v>17</v>
      </c>
      <c r="C25" s="14" t="s">
        <v>553</v>
      </c>
      <c r="D25" s="15">
        <v>6550836</v>
      </c>
      <c r="E25" s="16">
        <v>11</v>
      </c>
      <c r="F25" s="16">
        <v>11</v>
      </c>
      <c r="G25" s="16">
        <v>14</v>
      </c>
      <c r="H25" s="17">
        <f t="shared" si="2"/>
        <v>32</v>
      </c>
      <c r="I25" s="17">
        <v>18</v>
      </c>
      <c r="J25" s="17">
        <v>19</v>
      </c>
      <c r="K25" s="17">
        <f t="shared" si="3"/>
        <v>37</v>
      </c>
      <c r="L25" s="17">
        <f t="shared" si="4"/>
        <v>69</v>
      </c>
    </row>
    <row r="26" spans="2:12" s="9" customFormat="1" ht="23.1" customHeight="1">
      <c r="B26" s="19">
        <v>18</v>
      </c>
      <c r="C26" s="14" t="s">
        <v>559</v>
      </c>
      <c r="D26" s="15">
        <v>5315221</v>
      </c>
      <c r="E26" s="16">
        <v>12</v>
      </c>
      <c r="F26" s="16">
        <v>14</v>
      </c>
      <c r="G26" s="16">
        <v>15</v>
      </c>
      <c r="H26" s="17">
        <f t="shared" si="2"/>
        <v>36.44444444444445</v>
      </c>
      <c r="I26" s="17">
        <v>13</v>
      </c>
      <c r="J26" s="17">
        <v>19</v>
      </c>
      <c r="K26" s="17">
        <f t="shared" si="3"/>
        <v>32</v>
      </c>
      <c r="L26" s="17">
        <f t="shared" si="4"/>
        <v>68.444444444444457</v>
      </c>
    </row>
    <row r="27" spans="2:12" s="9" customFormat="1" ht="23.1" customHeight="1">
      <c r="B27" s="19">
        <v>19</v>
      </c>
      <c r="C27" s="14" t="s">
        <v>541</v>
      </c>
      <c r="D27" s="15">
        <v>5738806</v>
      </c>
      <c r="E27" s="16">
        <v>12</v>
      </c>
      <c r="F27" s="16">
        <v>12</v>
      </c>
      <c r="G27" s="16">
        <v>13</v>
      </c>
      <c r="H27" s="17">
        <f t="shared" si="2"/>
        <v>32.888888888888893</v>
      </c>
      <c r="I27" s="17">
        <v>17</v>
      </c>
      <c r="J27" s="17">
        <v>21</v>
      </c>
      <c r="K27" s="17">
        <f t="shared" si="3"/>
        <v>38</v>
      </c>
      <c r="L27" s="17">
        <f t="shared" si="4"/>
        <v>70.888888888888886</v>
      </c>
    </row>
    <row r="28" spans="2:12" s="9" customFormat="1" ht="23.1" customHeight="1">
      <c r="B28" s="19">
        <v>20</v>
      </c>
      <c r="C28" s="14" t="s">
        <v>544</v>
      </c>
      <c r="D28" s="15">
        <v>5993236</v>
      </c>
      <c r="E28" s="16">
        <v>15</v>
      </c>
      <c r="F28" s="16">
        <v>13</v>
      </c>
      <c r="G28" s="16">
        <v>15</v>
      </c>
      <c r="H28" s="17">
        <f t="shared" si="2"/>
        <v>38.222222222222221</v>
      </c>
      <c r="I28" s="17">
        <v>13</v>
      </c>
      <c r="J28" s="17">
        <v>19</v>
      </c>
      <c r="K28" s="17">
        <f t="shared" si="3"/>
        <v>32</v>
      </c>
      <c r="L28" s="17">
        <f t="shared" si="4"/>
        <v>70.222222222222229</v>
      </c>
    </row>
    <row r="29" spans="2:12" s="9" customFormat="1" ht="23.1" customHeight="1">
      <c r="B29" s="19">
        <v>21</v>
      </c>
      <c r="C29" s="14" t="s">
        <v>537</v>
      </c>
      <c r="D29" s="15">
        <v>5593901</v>
      </c>
      <c r="E29" s="16">
        <v>15</v>
      </c>
      <c r="F29" s="16">
        <v>15</v>
      </c>
      <c r="G29" s="16">
        <v>15</v>
      </c>
      <c r="H29" s="17">
        <f t="shared" si="2"/>
        <v>40</v>
      </c>
      <c r="I29" s="17">
        <v>12</v>
      </c>
      <c r="J29" s="17">
        <v>20</v>
      </c>
      <c r="K29" s="17">
        <f t="shared" si="3"/>
        <v>32</v>
      </c>
      <c r="L29" s="17">
        <f t="shared" si="4"/>
        <v>72</v>
      </c>
    </row>
    <row r="30" spans="2:12" s="9" customFormat="1" ht="23.1" customHeight="1">
      <c r="B30" s="19">
        <v>22</v>
      </c>
      <c r="C30" s="14" t="s">
        <v>551</v>
      </c>
      <c r="D30" s="15">
        <v>6683385</v>
      </c>
      <c r="E30" s="16">
        <v>14</v>
      </c>
      <c r="F30" s="16">
        <v>15</v>
      </c>
      <c r="G30" s="16">
        <v>14</v>
      </c>
      <c r="H30" s="17">
        <f t="shared" si="2"/>
        <v>38.222222222222221</v>
      </c>
      <c r="I30" s="17">
        <v>14</v>
      </c>
      <c r="J30" s="17">
        <v>17</v>
      </c>
      <c r="K30" s="17">
        <f t="shared" si="3"/>
        <v>31</v>
      </c>
      <c r="L30" s="17">
        <f t="shared" si="4"/>
        <v>69.222222222222229</v>
      </c>
    </row>
    <row r="31" spans="2:12" s="9" customFormat="1" ht="23.1" customHeight="1">
      <c r="B31" s="19">
        <v>23</v>
      </c>
      <c r="C31" s="14" t="s">
        <v>545</v>
      </c>
      <c r="D31" s="15">
        <v>5930285</v>
      </c>
      <c r="E31" s="16">
        <v>14</v>
      </c>
      <c r="F31" s="16">
        <v>15</v>
      </c>
      <c r="G31" s="16">
        <v>14</v>
      </c>
      <c r="H31" s="17">
        <f t="shared" si="2"/>
        <v>38.222222222222221</v>
      </c>
      <c r="I31" s="17">
        <v>14</v>
      </c>
      <c r="J31" s="17">
        <v>18</v>
      </c>
      <c r="K31" s="17">
        <f t="shared" si="3"/>
        <v>32</v>
      </c>
      <c r="L31" s="17">
        <f t="shared" si="4"/>
        <v>70.222222222222229</v>
      </c>
    </row>
    <row r="32" spans="2:12" s="9" customFormat="1" ht="23.1" customHeight="1">
      <c r="B32" s="19">
        <v>24</v>
      </c>
      <c r="C32" s="14" t="s">
        <v>542</v>
      </c>
      <c r="D32" s="15">
        <v>5662245</v>
      </c>
      <c r="E32" s="16">
        <v>13</v>
      </c>
      <c r="F32" s="16">
        <v>14</v>
      </c>
      <c r="G32" s="16">
        <v>15</v>
      </c>
      <c r="H32" s="17">
        <f t="shared" si="2"/>
        <v>37.333333333333336</v>
      </c>
      <c r="I32" s="17">
        <v>12</v>
      </c>
      <c r="J32" s="17">
        <v>21</v>
      </c>
      <c r="K32" s="17">
        <f t="shared" si="3"/>
        <v>33</v>
      </c>
      <c r="L32" s="17">
        <f t="shared" si="4"/>
        <v>70.333333333333343</v>
      </c>
    </row>
    <row r="33" spans="2:12" s="9" customFormat="1" ht="23.1" customHeight="1">
      <c r="B33" s="19">
        <v>25</v>
      </c>
      <c r="C33" s="14" t="s">
        <v>556</v>
      </c>
      <c r="D33" s="15">
        <v>5488918</v>
      </c>
      <c r="E33" s="16">
        <v>13</v>
      </c>
      <c r="F33" s="16">
        <v>12</v>
      </c>
      <c r="G33" s="16">
        <v>13</v>
      </c>
      <c r="H33" s="17">
        <f t="shared" si="2"/>
        <v>33.777777777777779</v>
      </c>
      <c r="I33" s="17">
        <v>15</v>
      </c>
      <c r="J33" s="17">
        <v>20</v>
      </c>
      <c r="K33" s="17">
        <f t="shared" si="3"/>
        <v>35</v>
      </c>
      <c r="L33" s="17">
        <f t="shared" si="4"/>
        <v>68.777777777777771</v>
      </c>
    </row>
    <row r="34" spans="2:12" s="9" customFormat="1" ht="23.1" customHeight="1">
      <c r="B34" s="19">
        <v>26</v>
      </c>
      <c r="C34" s="14" t="s">
        <v>539</v>
      </c>
      <c r="D34" s="15">
        <v>6185213</v>
      </c>
      <c r="E34" s="16">
        <v>12</v>
      </c>
      <c r="F34" s="16">
        <v>14</v>
      </c>
      <c r="G34" s="16">
        <v>14</v>
      </c>
      <c r="H34" s="17">
        <f t="shared" si="2"/>
        <v>35.555555555555557</v>
      </c>
      <c r="I34" s="17">
        <v>16</v>
      </c>
      <c r="J34" s="17">
        <v>20</v>
      </c>
      <c r="K34" s="17">
        <f t="shared" si="3"/>
        <v>36</v>
      </c>
      <c r="L34" s="17">
        <f t="shared" si="4"/>
        <v>71.555555555555557</v>
      </c>
    </row>
    <row r="35" spans="2:12" s="9" customFormat="1" ht="23.1" customHeight="1">
      <c r="B35" s="19">
        <v>27</v>
      </c>
      <c r="C35" s="14" t="s">
        <v>562</v>
      </c>
      <c r="D35" s="15">
        <v>5651116</v>
      </c>
      <c r="E35" s="16">
        <v>14</v>
      </c>
      <c r="F35" s="16">
        <v>15</v>
      </c>
      <c r="G35" s="16">
        <v>15</v>
      </c>
      <c r="H35" s="17">
        <f t="shared" si="2"/>
        <v>39.111111111111114</v>
      </c>
      <c r="I35" s="17">
        <v>9</v>
      </c>
      <c r="J35" s="17">
        <v>20</v>
      </c>
      <c r="K35" s="17">
        <f t="shared" si="3"/>
        <v>29</v>
      </c>
      <c r="L35" s="17">
        <f t="shared" si="4"/>
        <v>68.111111111111114</v>
      </c>
    </row>
    <row r="36" spans="2:12" s="9" customFormat="1" ht="23.1" customHeight="1">
      <c r="B36" s="19">
        <v>28</v>
      </c>
      <c r="C36" s="14" t="s">
        <v>549</v>
      </c>
      <c r="D36" s="15">
        <v>5406839</v>
      </c>
      <c r="E36" s="16">
        <v>12</v>
      </c>
      <c r="F36" s="16">
        <v>13</v>
      </c>
      <c r="G36" s="16">
        <v>15</v>
      </c>
      <c r="H36" s="17">
        <f t="shared" si="2"/>
        <v>35.555555555555557</v>
      </c>
      <c r="I36" s="17">
        <v>14</v>
      </c>
      <c r="J36" s="17">
        <v>20</v>
      </c>
      <c r="K36" s="17">
        <f t="shared" si="3"/>
        <v>34</v>
      </c>
      <c r="L36" s="17">
        <f t="shared" si="4"/>
        <v>69.555555555555557</v>
      </c>
    </row>
  </sheetData>
  <sortState ref="C9:L36">
    <sortCondition ref="C9:C36"/>
  </sortState>
  <mergeCells count="13">
    <mergeCell ref="K6:K7"/>
    <mergeCell ref="L6:L7"/>
    <mergeCell ref="B8:D8"/>
    <mergeCell ref="B1:L1"/>
    <mergeCell ref="B2:L2"/>
    <mergeCell ref="B3:L3"/>
    <mergeCell ref="B4:L4"/>
    <mergeCell ref="B5:L5"/>
    <mergeCell ref="B6:B7"/>
    <mergeCell ref="C6:C7"/>
    <mergeCell ref="D6:D7"/>
    <mergeCell ref="E6:G6"/>
    <mergeCell ref="H6:H7"/>
  </mergeCells>
  <printOptions horizontalCentered="1"/>
  <pageMargins left="0.39370078740157483" right="0.19685039370078741" top="0.78740157480314965" bottom="0.78740157480314965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19</vt:i4>
      </vt:variant>
    </vt:vector>
  </HeadingPairs>
  <TitlesOfParts>
    <vt:vector size="38" baseType="lpstr">
      <vt:lpstr>CC (1)</vt:lpstr>
      <vt:lpstr>CC (2)</vt:lpstr>
      <vt:lpstr>CC(3)</vt:lpstr>
      <vt:lpstr>EDAD (1)</vt:lpstr>
      <vt:lpstr>EDAD(2)</vt:lpstr>
      <vt:lpstr>EMCA (1)</vt:lpstr>
      <vt:lpstr>EMCA(2)</vt:lpstr>
      <vt:lpstr>ECA (1)</vt:lpstr>
      <vt:lpstr>ECA (2)</vt:lpstr>
      <vt:lpstr>ECA(3)</vt:lpstr>
      <vt:lpstr>INFO(1)</vt:lpstr>
      <vt:lpstr>INFO(2)</vt:lpstr>
      <vt:lpstr>AUTO (1)</vt:lpstr>
      <vt:lpstr>AUTO(2)</vt:lpstr>
      <vt:lpstr>MCA (1)</vt:lpstr>
      <vt:lpstr>MCA(2)</vt:lpstr>
      <vt:lpstr>QCA (1)</vt:lpstr>
      <vt:lpstr>QCA (2)</vt:lpstr>
      <vt:lpstr>QCA(3)</vt:lpstr>
      <vt:lpstr>'AUTO (1)'!Títulos_a_imprimir</vt:lpstr>
      <vt:lpstr>'AUTO(2)'!Títulos_a_imprimir</vt:lpstr>
      <vt:lpstr>'CC (1)'!Títulos_a_imprimir</vt:lpstr>
      <vt:lpstr>'CC (2)'!Títulos_a_imprimir</vt:lpstr>
      <vt:lpstr>'CC(3)'!Títulos_a_imprimir</vt:lpstr>
      <vt:lpstr>'ECA (1)'!Títulos_a_imprimir</vt:lpstr>
      <vt:lpstr>'ECA (2)'!Títulos_a_imprimir</vt:lpstr>
      <vt:lpstr>'ECA(3)'!Títulos_a_imprimir</vt:lpstr>
      <vt:lpstr>'EDAD (1)'!Títulos_a_imprimir</vt:lpstr>
      <vt:lpstr>'EDAD(2)'!Títulos_a_imprimir</vt:lpstr>
      <vt:lpstr>'EMCA (1)'!Títulos_a_imprimir</vt:lpstr>
      <vt:lpstr>'EMCA(2)'!Títulos_a_imprimir</vt:lpstr>
      <vt:lpstr>'INFO(1)'!Títulos_a_imprimir</vt:lpstr>
      <vt:lpstr>'INFO(2)'!Títulos_a_imprimir</vt:lpstr>
      <vt:lpstr>'MCA (1)'!Títulos_a_imprimir</vt:lpstr>
      <vt:lpstr>'MCA(2)'!Títulos_a_imprimir</vt:lpstr>
      <vt:lpstr>'QCA (1)'!Títulos_a_imprimir</vt:lpstr>
      <vt:lpstr>'QCA (2)'!Títulos_a_imprimir</vt:lpstr>
      <vt:lpstr>'QCA(3)'!Títulos_a_imprimir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2019-02-25T20:40:16Z</cp:lastPrinted>
  <dcterms:created xsi:type="dcterms:W3CDTF">2016-02-17T13:19:12Z</dcterms:created>
  <dcterms:modified xsi:type="dcterms:W3CDTF">2019-02-26T12:19:34Z</dcterms:modified>
</cp:coreProperties>
</file>