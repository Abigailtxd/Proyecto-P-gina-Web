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ocuments\"/>
    </mc:Choice>
  </mc:AlternateContent>
  <bookViews>
    <workbookView xWindow="240" yWindow="75" windowWidth="15600" windowHeight="7935" tabRatio="924"/>
  </bookViews>
  <sheets>
    <sheet name="MECANICA AUTOMOTRIZ" sheetId="27" r:id="rId1"/>
  </sheets>
  <definedNames>
    <definedName name="_xlnm._FilterDatabase" localSheetId="0" hidden="1">'MECANICA AUTOMOTRIZ'!$B$1:$B$72</definedName>
    <definedName name="_xlnm.Print_Titles" localSheetId="0">'MECANICA AUTOMOTRIZ'!$1:$8</definedName>
  </definedNames>
  <calcPr calcId="152511"/>
  <fileRecoveryPr autoRecover="0"/>
</workbook>
</file>

<file path=xl/calcChain.xml><?xml version="1.0" encoding="utf-8"?>
<calcChain xmlns="http://schemas.openxmlformats.org/spreadsheetml/2006/main">
  <c r="F65" i="27" l="1"/>
  <c r="I65" i="27"/>
  <c r="J65" i="27" l="1"/>
  <c r="I16" i="27" l="1"/>
  <c r="F16" i="27"/>
  <c r="J16" i="27" l="1"/>
  <c r="I12" i="27" l="1"/>
  <c r="F12" i="27"/>
  <c r="I55" i="27"/>
  <c r="F55" i="27"/>
  <c r="I31" i="27"/>
  <c r="F31" i="27"/>
  <c r="I47" i="27"/>
  <c r="F47" i="27"/>
  <c r="I43" i="27"/>
  <c r="F43" i="27"/>
  <c r="I25" i="27"/>
  <c r="F25" i="27"/>
  <c r="I66" i="27"/>
  <c r="F66" i="27"/>
  <c r="I71" i="27"/>
  <c r="F71" i="27"/>
  <c r="I57" i="27"/>
  <c r="F57" i="27"/>
  <c r="I23" i="27"/>
  <c r="F23" i="27"/>
  <c r="I21" i="27"/>
  <c r="F21" i="27"/>
  <c r="I48" i="27"/>
  <c r="F48" i="27"/>
  <c r="I39" i="27"/>
  <c r="F39" i="27"/>
  <c r="I11" i="27"/>
  <c r="F11" i="27"/>
  <c r="I62" i="27"/>
  <c r="F62" i="27"/>
  <c r="I69" i="27"/>
  <c r="F69" i="27"/>
  <c r="I28" i="27"/>
  <c r="F28" i="27"/>
  <c r="I53" i="27"/>
  <c r="F53" i="27"/>
  <c r="I46" i="27"/>
  <c r="F46" i="27"/>
  <c r="I67" i="27"/>
  <c r="F67" i="27"/>
  <c r="I70" i="27"/>
  <c r="F70" i="27"/>
  <c r="I54" i="27"/>
  <c r="F54" i="27"/>
  <c r="I14" i="27"/>
  <c r="F14" i="27"/>
  <c r="I64" i="27"/>
  <c r="F64" i="27"/>
  <c r="I42" i="27"/>
  <c r="F42" i="27"/>
  <c r="I17" i="27"/>
  <c r="F17" i="27"/>
  <c r="I45" i="27"/>
  <c r="F45" i="27"/>
  <c r="I50" i="27"/>
  <c r="F50" i="27"/>
  <c r="I36" i="27"/>
  <c r="F36" i="27"/>
  <c r="I59" i="27"/>
  <c r="F59" i="27"/>
  <c r="I56" i="27"/>
  <c r="F56" i="27"/>
  <c r="I24" i="27"/>
  <c r="F24" i="27"/>
  <c r="I32" i="27"/>
  <c r="F32" i="27"/>
  <c r="I41" i="27"/>
  <c r="F41" i="27"/>
  <c r="I15" i="27"/>
  <c r="F15" i="27"/>
  <c r="I63" i="27"/>
  <c r="F63" i="27"/>
  <c r="I20" i="27"/>
  <c r="F20" i="27"/>
  <c r="I68" i="27"/>
  <c r="F68" i="27"/>
  <c r="I60" i="27"/>
  <c r="F60" i="27"/>
  <c r="I30" i="27"/>
  <c r="F30" i="27"/>
  <c r="I33" i="27"/>
  <c r="F33" i="27"/>
  <c r="I52" i="27"/>
  <c r="F52" i="27"/>
  <c r="I22" i="27"/>
  <c r="F22" i="27"/>
  <c r="I37" i="27"/>
  <c r="F37" i="27"/>
  <c r="I51" i="27"/>
  <c r="F51" i="27"/>
  <c r="I61" i="27"/>
  <c r="F61" i="27"/>
  <c r="I49" i="27"/>
  <c r="F49" i="27"/>
  <c r="I35" i="27"/>
  <c r="F35" i="27"/>
  <c r="I27" i="27"/>
  <c r="F27" i="27"/>
  <c r="I38" i="27"/>
  <c r="F38" i="27"/>
  <c r="I44" i="27"/>
  <c r="F44" i="27"/>
  <c r="I34" i="27"/>
  <c r="F34" i="27"/>
  <c r="I40" i="27"/>
  <c r="F40" i="27"/>
  <c r="I29" i="27"/>
  <c r="F29" i="27"/>
  <c r="I10" i="27"/>
  <c r="F10" i="27"/>
  <c r="I19" i="27"/>
  <c r="F19" i="27"/>
  <c r="I58" i="27"/>
  <c r="F58" i="27"/>
  <c r="I9" i="27"/>
  <c r="F9" i="27"/>
  <c r="I26" i="27"/>
  <c r="F26" i="27"/>
  <c r="I13" i="27"/>
  <c r="F13" i="27"/>
  <c r="I18" i="27"/>
  <c r="F18" i="27"/>
  <c r="J18" i="27" l="1"/>
  <c r="J13" i="27"/>
  <c r="J26" i="27"/>
  <c r="J9" i="27"/>
  <c r="J19" i="27"/>
  <c r="J10" i="27"/>
  <c r="J29" i="27"/>
  <c r="J34" i="27"/>
  <c r="J44" i="27"/>
  <c r="J38" i="27"/>
  <c r="J35" i="27"/>
  <c r="J49" i="27"/>
  <c r="J51" i="27"/>
  <c r="J37" i="27"/>
  <c r="J52" i="27"/>
  <c r="J33" i="27"/>
  <c r="J30" i="27"/>
  <c r="J60" i="27"/>
  <c r="J68" i="27"/>
  <c r="J20" i="27"/>
  <c r="J63" i="27"/>
  <c r="J15" i="27"/>
  <c r="J41" i="27"/>
  <c r="J32" i="27"/>
  <c r="J24" i="27"/>
  <c r="J56" i="27"/>
  <c r="J59" i="27"/>
  <c r="J36" i="27"/>
  <c r="J50" i="27"/>
  <c r="J45" i="27"/>
  <c r="J17" i="27"/>
  <c r="J42" i="27"/>
  <c r="J64" i="27"/>
  <c r="J14" i="27"/>
  <c r="J70" i="27"/>
  <c r="J67" i="27"/>
  <c r="J46" i="27"/>
  <c r="J53" i="27"/>
  <c r="J28" i="27"/>
  <c r="J69" i="27"/>
  <c r="J62" i="27"/>
  <c r="J11" i="27"/>
  <c r="J39" i="27"/>
  <c r="J48" i="27"/>
  <c r="J21" i="27"/>
  <c r="J23" i="27"/>
  <c r="J57" i="27"/>
  <c r="J71" i="27"/>
  <c r="J66" i="27"/>
  <c r="J25" i="27"/>
  <c r="J43" i="27"/>
  <c r="J47" i="27"/>
  <c r="J31" i="27"/>
  <c r="J55" i="27"/>
  <c r="J12" i="27"/>
  <c r="J54" i="27"/>
  <c r="J58" i="27"/>
  <c r="J40" i="27"/>
  <c r="J27" i="27"/>
  <c r="J61" i="27"/>
  <c r="J22" i="27"/>
  <c r="I8" i="27" l="1"/>
  <c r="F8" i="27"/>
  <c r="J8" i="27" l="1"/>
</calcChain>
</file>

<file path=xl/sharedStrings.xml><?xml version="1.0" encoding="utf-8"?>
<sst xmlns="http://schemas.openxmlformats.org/spreadsheetml/2006/main" count="19" uniqueCount="18">
  <si>
    <t xml:space="preserve">DIRECCION GENERAL DE EDUCACIÓN MEDIA </t>
  </si>
  <si>
    <t>DIRECCION DE BACHILLERATO TÉCNICO Y FORMACIÓN PROFESIONAL</t>
  </si>
  <si>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</si>
  <si>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</si>
  <si>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</si>
  <si>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</si>
  <si>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</si>
  <si>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</si>
  <si>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</si>
  <si>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</si>
  <si>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</si>
  <si>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</si>
  <si>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</si>
  <si>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</si>
  <si>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MECANICA AUTOMOTRIZ</t>
  </si>
  <si>
    <t>MINISTERIO DE EDUCACION Y CIENCIAS</t>
  </si>
  <si>
    <t>LISTA PRELIMINAR - COLEGIO TECNICO NACIONAL DE LA CAPITAL / 2021</t>
  </si>
  <si>
    <t>OBS.PISO PRELIMINAR 46,67% SALVO MODIFICACCIONES  DESPUES DEL PROCESO DE REVISION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</si>
</sst>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/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3" xfId="1" applyNumberFormat="1" applyFont="1" applyFill="1" applyBorder="1" applyAlignment="1" applyProtection="1">
      <alignment horizontal="center"/>
    </xf>
    <xf numFmtId="164" fontId="3" fillId="0" borderId="6" xfId="1" applyNumberFormat="1" applyFont="1" applyFill="1" applyBorder="1" applyAlignment="1" applyProtection="1">
      <alignment horizontal="center"/>
    </xf>
    <xf numFmtId="164" fontId="3" fillId="0" borderId="2" xfId="1" applyNumberFormat="1" applyFont="1" applyFill="1" applyBorder="1" applyAlignment="1" applyProtection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tabSelected="1" view="pageBreakPreview" zoomScale="110" zoomScaleSheetLayoutView="110" workbookViewId="0">
      <selection activeCell="S1" sqref="S1"/>
    </sheetView>
  </sheetViews>
  <sheetFormatPr baseColWidth="10" defaultRowHeight="15"/>
  <cols>
    <col min="1" max="1" width="3.42578125" customWidth="1"/>
    <col min="2" max="2" width="10.7109375" customWidth="1"/>
    <col min="3" max="9" width="6.7109375" customWidth="1"/>
    <col min="10" max="10" width="11" customWidth="1"/>
  </cols>
  <sheetData>
    <row r="1" spans="1:10">
      <c r="A1" s="21" t="s">
        <v>15</v>
      </c>
      <c r="B1" s="21"/>
      <c r="C1" s="21"/>
      <c r="D1" s="21"/>
      <c r="E1" s="21"/>
      <c r="F1" s="21"/>
      <c r="G1" s="21"/>
      <c r="H1" s="21"/>
      <c r="I1" s="21"/>
      <c r="J1" s="21"/>
    </row>
    <row r="2" spans="1:10">
      <c r="A2" s="25" t="s">
        <v>0</v>
      </c>
      <c r="B2" s="25"/>
      <c r="C2" s="25"/>
      <c r="D2" s="25"/>
      <c r="E2" s="25"/>
      <c r="F2" s="25"/>
      <c r="G2" s="25"/>
      <c r="H2" s="25"/>
      <c r="I2" s="25"/>
      <c r="J2" s="25"/>
    </row>
    <row r="3" spans="1:10">
      <c r="A3" s="25" t="s">
        <v>1</v>
      </c>
      <c r="B3" s="25"/>
      <c r="C3" s="25"/>
      <c r="D3" s="25"/>
      <c r="E3" s="25"/>
      <c r="F3" s="25"/>
      <c r="G3" s="25"/>
      <c r="H3" s="25"/>
      <c r="I3" s="25"/>
      <c r="J3" s="25"/>
    </row>
    <row r="4" spans="1:10">
      <c r="A4" s="21" t="s">
        <v>16</v>
      </c>
      <c r="B4" s="21"/>
      <c r="C4" s="21"/>
      <c r="D4" s="21"/>
      <c r="E4" s="21"/>
      <c r="F4" s="21"/>
      <c r="G4" s="21"/>
      <c r="H4" s="21"/>
      <c r="I4" s="21"/>
      <c r="J4" s="21"/>
    </row>
    <row r="5" spans="1:10" ht="15.75">
      <c r="A5" s="26" t="s">
        <v>14</v>
      </c>
      <c r="B5" s="27"/>
      <c r="C5" s="27"/>
      <c r="D5" s="27"/>
      <c r="E5" s="27"/>
      <c r="F5" s="27"/>
      <c r="G5" s="27"/>
      <c r="H5" s="27"/>
      <c r="I5" s="27"/>
      <c r="J5" s="28"/>
    </row>
    <row r="6" spans="1:10" ht="35.1" customHeight="1">
      <c r="A6" s="22" t="s">
        <v>2</v>
      </c>
      <c r="B6" s="23" t="s">
        <v>3</v>
      </c>
      <c r="C6" s="24" t="s">
        <v>4</v>
      </c>
      <c r="D6" s="24"/>
      <c r="E6" s="24"/>
      <c r="F6" s="17" t="s">
        <v>5</v>
      </c>
      <c r="G6" s="1" t="s">
        <v>6</v>
      </c>
      <c r="H6" s="1" t="s">
        <v>6</v>
      </c>
      <c r="I6" s="17" t="s">
        <v>7</v>
      </c>
      <c r="J6" s="17" t="s">
        <v>8</v>
      </c>
    </row>
    <row r="7" spans="1:10" ht="30" customHeight="1">
      <c r="A7" s="22"/>
      <c r="B7" s="23"/>
      <c r="C7" s="12" t="s">
        <v>9</v>
      </c>
      <c r="D7" s="12" t="s">
        <v>10</v>
      </c>
      <c r="E7" s="12" t="s">
        <v>11</v>
      </c>
      <c r="F7" s="18"/>
      <c r="G7" s="11" t="s">
        <v>12</v>
      </c>
      <c r="H7" s="11" t="s">
        <v>13</v>
      </c>
      <c r="I7" s="18"/>
      <c r="J7" s="18"/>
    </row>
    <row r="8" spans="1:10">
      <c r="A8" s="19"/>
      <c r="B8" s="20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3" customFormat="1">
      <c r="A9" s="5">
        <v>1</v>
      </c>
      <c r="B9" s="6">
        <v>5229000</v>
      </c>
      <c r="C9" s="7">
        <v>11</v>
      </c>
      <c r="D9" s="7">
        <v>12</v>
      </c>
      <c r="E9" s="7">
        <v>12</v>
      </c>
      <c r="F9" s="8">
        <f t="shared" ref="F9:F40" si="2">SUM(C9:E9)*100/45*0.4</f>
        <v>31.111111111111111</v>
      </c>
      <c r="G9" s="8">
        <v>13</v>
      </c>
      <c r="H9" s="8">
        <v>18</v>
      </c>
      <c r="I9" s="9">
        <f t="shared" ref="I9:I40" si="3">SUM(G9:H9)</f>
        <v>31</v>
      </c>
      <c r="J9" s="9">
        <f t="shared" ref="J9:J40" si="4">F9+I9</f>
        <v>62.111111111111114</v>
      </c>
    </row>
    <row r="10" spans="1:10" s="13" customFormat="1">
      <c r="A10" s="5">
        <v>2</v>
      </c>
      <c r="B10" s="6">
        <v>5434201</v>
      </c>
      <c r="C10" s="7">
        <v>8</v>
      </c>
      <c r="D10" s="7">
        <v>12</v>
      </c>
      <c r="E10" s="7">
        <v>15</v>
      </c>
      <c r="F10" s="8">
        <f t="shared" si="2"/>
        <v>31.111111111111111</v>
      </c>
      <c r="G10" s="8">
        <v>16</v>
      </c>
      <c r="H10" s="8">
        <v>18</v>
      </c>
      <c r="I10" s="9">
        <f t="shared" si="3"/>
        <v>34</v>
      </c>
      <c r="J10" s="9">
        <f t="shared" si="4"/>
        <v>65.111111111111114</v>
      </c>
    </row>
    <row r="11" spans="1:10" s="13" customFormat="1">
      <c r="A11" s="5">
        <v>3</v>
      </c>
      <c r="B11" s="6">
        <v>5443416</v>
      </c>
      <c r="C11" s="7">
        <v>12</v>
      </c>
      <c r="D11" s="7">
        <v>12</v>
      </c>
      <c r="E11" s="7">
        <v>13</v>
      </c>
      <c r="F11" s="8">
        <f t="shared" si="2"/>
        <v>32.888888888888893</v>
      </c>
      <c r="G11" s="8">
        <v>11</v>
      </c>
      <c r="H11" s="8">
        <v>15</v>
      </c>
      <c r="I11" s="9">
        <f t="shared" si="3"/>
        <v>26</v>
      </c>
      <c r="J11" s="9">
        <f t="shared" si="4"/>
        <v>58.888888888888893</v>
      </c>
    </row>
    <row r="12" spans="1:10" s="13" customFormat="1">
      <c r="A12" s="5">
        <v>4</v>
      </c>
      <c r="B12" s="6">
        <v>5491274</v>
      </c>
      <c r="C12" s="7">
        <v>15</v>
      </c>
      <c r="D12" s="7">
        <v>15</v>
      </c>
      <c r="E12" s="7">
        <v>15</v>
      </c>
      <c r="F12" s="8">
        <f t="shared" si="2"/>
        <v>40</v>
      </c>
      <c r="G12" s="8">
        <v>15</v>
      </c>
      <c r="H12" s="8">
        <v>15</v>
      </c>
      <c r="I12" s="9">
        <f t="shared" si="3"/>
        <v>30</v>
      </c>
      <c r="J12" s="9">
        <f t="shared" si="4"/>
        <v>70</v>
      </c>
    </row>
    <row r="13" spans="1:10" s="13" customFormat="1">
      <c r="A13" s="5">
        <v>5</v>
      </c>
      <c r="B13" s="6">
        <v>5491441</v>
      </c>
      <c r="C13" s="7">
        <v>11</v>
      </c>
      <c r="D13" s="7">
        <v>9</v>
      </c>
      <c r="E13" s="7">
        <v>11</v>
      </c>
      <c r="F13" s="8">
        <f t="shared" si="2"/>
        <v>27.555555555555557</v>
      </c>
      <c r="G13" s="8">
        <v>10</v>
      </c>
      <c r="H13" s="8">
        <v>14</v>
      </c>
      <c r="I13" s="9">
        <f t="shared" si="3"/>
        <v>24</v>
      </c>
      <c r="J13" s="9">
        <f t="shared" si="4"/>
        <v>51.555555555555557</v>
      </c>
    </row>
    <row r="14" spans="1:10" s="13" customFormat="1">
      <c r="A14" s="5">
        <v>6</v>
      </c>
      <c r="B14" s="6">
        <v>5494390</v>
      </c>
      <c r="C14" s="7">
        <v>8</v>
      </c>
      <c r="D14" s="7">
        <v>10</v>
      </c>
      <c r="E14" s="7">
        <v>14</v>
      </c>
      <c r="F14" s="8">
        <f t="shared" si="2"/>
        <v>28.444444444444446</v>
      </c>
      <c r="G14" s="8">
        <v>15</v>
      </c>
      <c r="H14" s="8">
        <v>22</v>
      </c>
      <c r="I14" s="9">
        <f t="shared" si="3"/>
        <v>37</v>
      </c>
      <c r="J14" s="9">
        <f t="shared" si="4"/>
        <v>65.444444444444443</v>
      </c>
    </row>
    <row r="15" spans="1:10" s="13" customFormat="1">
      <c r="A15" s="5">
        <v>7</v>
      </c>
      <c r="B15" s="6">
        <v>5496513</v>
      </c>
      <c r="C15" s="7">
        <v>15</v>
      </c>
      <c r="D15" s="7">
        <v>15</v>
      </c>
      <c r="E15" s="7">
        <v>13</v>
      </c>
      <c r="F15" s="8">
        <f t="shared" si="2"/>
        <v>38.222222222222221</v>
      </c>
      <c r="G15" s="8">
        <v>15</v>
      </c>
      <c r="H15" s="8">
        <v>19</v>
      </c>
      <c r="I15" s="9">
        <f t="shared" si="3"/>
        <v>34</v>
      </c>
      <c r="J15" s="9">
        <f t="shared" si="4"/>
        <v>72.222222222222229</v>
      </c>
    </row>
    <row r="16" spans="1:10" s="13" customFormat="1">
      <c r="A16" s="5">
        <v>8</v>
      </c>
      <c r="B16" s="6">
        <v>5540432</v>
      </c>
      <c r="C16" s="10">
        <v>11</v>
      </c>
      <c r="D16" s="10">
        <v>9</v>
      </c>
      <c r="E16" s="10">
        <v>12</v>
      </c>
      <c r="F16" s="8">
        <f t="shared" si="2"/>
        <v>28.444444444444446</v>
      </c>
      <c r="G16" s="8">
        <v>13</v>
      </c>
      <c r="H16" s="8">
        <v>21</v>
      </c>
      <c r="I16" s="8">
        <f t="shared" si="3"/>
        <v>34</v>
      </c>
      <c r="J16" s="8">
        <f t="shared" si="4"/>
        <v>62.444444444444443</v>
      </c>
    </row>
    <row r="17" spans="1:10" s="13" customFormat="1">
      <c r="A17" s="5">
        <v>9</v>
      </c>
      <c r="B17" s="6">
        <v>5540973</v>
      </c>
      <c r="C17" s="7">
        <v>11</v>
      </c>
      <c r="D17" s="7">
        <v>8</v>
      </c>
      <c r="E17" s="7">
        <v>6</v>
      </c>
      <c r="F17" s="8">
        <f t="shared" si="2"/>
        <v>22.222222222222225</v>
      </c>
      <c r="G17" s="8">
        <v>14</v>
      </c>
      <c r="H17" s="8">
        <v>16</v>
      </c>
      <c r="I17" s="9">
        <f t="shared" si="3"/>
        <v>30</v>
      </c>
      <c r="J17" s="9">
        <f t="shared" si="4"/>
        <v>52.222222222222229</v>
      </c>
    </row>
    <row r="18" spans="1:10" s="13" customFormat="1">
      <c r="A18" s="5">
        <v>10</v>
      </c>
      <c r="B18" s="6">
        <v>5572103</v>
      </c>
      <c r="C18" s="6">
        <v>15</v>
      </c>
      <c r="D18" s="6">
        <v>14</v>
      </c>
      <c r="E18" s="6">
        <v>15</v>
      </c>
      <c r="F18" s="8">
        <f t="shared" si="2"/>
        <v>39.111111111111114</v>
      </c>
      <c r="G18" s="8">
        <v>12</v>
      </c>
      <c r="H18" s="8">
        <v>18</v>
      </c>
      <c r="I18" s="9">
        <f t="shared" si="3"/>
        <v>30</v>
      </c>
      <c r="J18" s="9">
        <f t="shared" si="4"/>
        <v>69.111111111111114</v>
      </c>
    </row>
    <row r="19" spans="1:10" s="13" customFormat="1">
      <c r="A19" s="5">
        <v>11</v>
      </c>
      <c r="B19" s="6">
        <v>5585721</v>
      </c>
      <c r="C19" s="7">
        <v>7</v>
      </c>
      <c r="D19" s="7">
        <v>6</v>
      </c>
      <c r="E19" s="7">
        <v>10</v>
      </c>
      <c r="F19" s="8">
        <f t="shared" si="2"/>
        <v>20.444444444444446</v>
      </c>
      <c r="G19" s="8">
        <v>12</v>
      </c>
      <c r="H19" s="8">
        <v>26</v>
      </c>
      <c r="I19" s="9">
        <f t="shared" si="3"/>
        <v>38</v>
      </c>
      <c r="J19" s="9">
        <f t="shared" si="4"/>
        <v>58.444444444444443</v>
      </c>
    </row>
    <row r="20" spans="1:10" s="13" customFormat="1">
      <c r="A20" s="5">
        <v>12</v>
      </c>
      <c r="B20" s="6">
        <v>5594414</v>
      </c>
      <c r="C20" s="7">
        <v>11</v>
      </c>
      <c r="D20" s="7">
        <v>9</v>
      </c>
      <c r="E20" s="7">
        <v>15</v>
      </c>
      <c r="F20" s="8">
        <f t="shared" si="2"/>
        <v>31.111111111111111</v>
      </c>
      <c r="G20" s="8">
        <v>5</v>
      </c>
      <c r="H20" s="8">
        <v>7</v>
      </c>
      <c r="I20" s="9">
        <f t="shared" si="3"/>
        <v>12</v>
      </c>
      <c r="J20" s="9">
        <f t="shared" si="4"/>
        <v>43.111111111111114</v>
      </c>
    </row>
    <row r="21" spans="1:10" s="13" customFormat="1">
      <c r="A21" s="5">
        <v>13</v>
      </c>
      <c r="B21" s="6">
        <v>5617520</v>
      </c>
      <c r="C21" s="7">
        <v>14</v>
      </c>
      <c r="D21" s="7">
        <v>11</v>
      </c>
      <c r="E21" s="7">
        <v>15</v>
      </c>
      <c r="F21" s="8">
        <f t="shared" si="2"/>
        <v>35.555555555555557</v>
      </c>
      <c r="G21" s="8">
        <v>7</v>
      </c>
      <c r="H21" s="8">
        <v>19</v>
      </c>
      <c r="I21" s="9">
        <f t="shared" si="3"/>
        <v>26</v>
      </c>
      <c r="J21" s="9">
        <f t="shared" si="4"/>
        <v>61.555555555555557</v>
      </c>
    </row>
    <row r="22" spans="1:10" s="13" customFormat="1">
      <c r="A22" s="5">
        <v>14</v>
      </c>
      <c r="B22" s="6">
        <v>5626731</v>
      </c>
      <c r="C22" s="7">
        <v>12</v>
      </c>
      <c r="D22" s="7">
        <v>13</v>
      </c>
      <c r="E22" s="7">
        <v>8</v>
      </c>
      <c r="F22" s="8">
        <f t="shared" si="2"/>
        <v>29.333333333333332</v>
      </c>
      <c r="G22" s="8">
        <v>9</v>
      </c>
      <c r="H22" s="8">
        <v>20</v>
      </c>
      <c r="I22" s="9">
        <f t="shared" si="3"/>
        <v>29</v>
      </c>
      <c r="J22" s="9">
        <f t="shared" si="4"/>
        <v>58.333333333333329</v>
      </c>
    </row>
    <row r="23" spans="1:10" s="13" customFormat="1">
      <c r="A23" s="5">
        <v>15</v>
      </c>
      <c r="B23" s="6">
        <v>5646787</v>
      </c>
      <c r="C23" s="7">
        <v>14</v>
      </c>
      <c r="D23" s="7">
        <v>13</v>
      </c>
      <c r="E23" s="7">
        <v>15</v>
      </c>
      <c r="F23" s="8">
        <f t="shared" si="2"/>
        <v>37.333333333333336</v>
      </c>
      <c r="G23" s="8">
        <v>11</v>
      </c>
      <c r="H23" s="8">
        <v>20</v>
      </c>
      <c r="I23" s="9">
        <f t="shared" si="3"/>
        <v>31</v>
      </c>
      <c r="J23" s="9">
        <f t="shared" si="4"/>
        <v>68.333333333333343</v>
      </c>
    </row>
    <row r="24" spans="1:10" s="13" customFormat="1">
      <c r="A24" s="5">
        <v>16</v>
      </c>
      <c r="B24" s="6">
        <v>5658905</v>
      </c>
      <c r="C24" s="7">
        <v>10</v>
      </c>
      <c r="D24" s="7">
        <v>13</v>
      </c>
      <c r="E24" s="7">
        <v>15</v>
      </c>
      <c r="F24" s="8">
        <f t="shared" si="2"/>
        <v>33.777777777777779</v>
      </c>
      <c r="G24" s="8">
        <v>15</v>
      </c>
      <c r="H24" s="8">
        <v>15</v>
      </c>
      <c r="I24" s="9">
        <f t="shared" si="3"/>
        <v>30</v>
      </c>
      <c r="J24" s="9">
        <f t="shared" si="4"/>
        <v>63.777777777777779</v>
      </c>
    </row>
    <row r="25" spans="1:10" s="13" customFormat="1">
      <c r="A25" s="5">
        <v>17</v>
      </c>
      <c r="B25" s="6">
        <v>5674206</v>
      </c>
      <c r="C25" s="6">
        <v>8</v>
      </c>
      <c r="D25" s="6">
        <v>8</v>
      </c>
      <c r="E25" s="6">
        <v>7</v>
      </c>
      <c r="F25" s="8">
        <f t="shared" si="2"/>
        <v>20.444444444444446</v>
      </c>
      <c r="G25" s="8">
        <v>10</v>
      </c>
      <c r="H25" s="8">
        <v>12</v>
      </c>
      <c r="I25" s="9">
        <f t="shared" si="3"/>
        <v>22</v>
      </c>
      <c r="J25" s="9">
        <f t="shared" si="4"/>
        <v>42.444444444444443</v>
      </c>
    </row>
    <row r="26" spans="1:10" s="13" customFormat="1">
      <c r="A26" s="5">
        <v>18</v>
      </c>
      <c r="B26" s="6">
        <v>5678759</v>
      </c>
      <c r="C26" s="7">
        <v>9</v>
      </c>
      <c r="D26" s="7">
        <v>9</v>
      </c>
      <c r="E26" s="7">
        <v>10</v>
      </c>
      <c r="F26" s="8">
        <f t="shared" si="2"/>
        <v>24.888888888888889</v>
      </c>
      <c r="G26" s="8">
        <v>10</v>
      </c>
      <c r="H26" s="8">
        <v>14</v>
      </c>
      <c r="I26" s="9">
        <f t="shared" si="3"/>
        <v>24</v>
      </c>
      <c r="J26" s="9">
        <f t="shared" si="4"/>
        <v>48.888888888888886</v>
      </c>
    </row>
    <row r="27" spans="1:10" s="13" customFormat="1">
      <c r="A27" s="5">
        <v>19</v>
      </c>
      <c r="B27" s="6">
        <v>5689063</v>
      </c>
      <c r="C27" s="7">
        <v>14</v>
      </c>
      <c r="D27" s="7">
        <v>14</v>
      </c>
      <c r="E27" s="7">
        <v>15</v>
      </c>
      <c r="F27" s="8">
        <f t="shared" si="2"/>
        <v>38.222222222222221</v>
      </c>
      <c r="G27" s="8">
        <v>12</v>
      </c>
      <c r="H27" s="8">
        <v>18</v>
      </c>
      <c r="I27" s="9">
        <f t="shared" si="3"/>
        <v>30</v>
      </c>
      <c r="J27" s="9">
        <f t="shared" si="4"/>
        <v>68.222222222222229</v>
      </c>
    </row>
    <row r="28" spans="1:10" s="13" customFormat="1">
      <c r="A28" s="5">
        <v>20</v>
      </c>
      <c r="B28" s="6">
        <v>5690504</v>
      </c>
      <c r="C28" s="7">
        <v>12</v>
      </c>
      <c r="D28" s="7">
        <v>11</v>
      </c>
      <c r="E28" s="7">
        <v>12</v>
      </c>
      <c r="F28" s="8">
        <f t="shared" si="2"/>
        <v>31.111111111111111</v>
      </c>
      <c r="G28" s="8">
        <v>21</v>
      </c>
      <c r="H28" s="8">
        <v>18</v>
      </c>
      <c r="I28" s="9">
        <f t="shared" si="3"/>
        <v>39</v>
      </c>
      <c r="J28" s="9">
        <f t="shared" si="4"/>
        <v>70.111111111111114</v>
      </c>
    </row>
    <row r="29" spans="1:10" s="13" customFormat="1">
      <c r="A29" s="5">
        <v>21</v>
      </c>
      <c r="B29" s="6">
        <v>5703099</v>
      </c>
      <c r="C29" s="7">
        <v>9</v>
      </c>
      <c r="D29" s="7">
        <v>9</v>
      </c>
      <c r="E29" s="7">
        <v>13</v>
      </c>
      <c r="F29" s="8">
        <f t="shared" si="2"/>
        <v>27.555555555555557</v>
      </c>
      <c r="G29" s="8">
        <v>6</v>
      </c>
      <c r="H29" s="8">
        <v>9</v>
      </c>
      <c r="I29" s="9">
        <f t="shared" si="3"/>
        <v>15</v>
      </c>
      <c r="J29" s="9">
        <f t="shared" si="4"/>
        <v>42.555555555555557</v>
      </c>
    </row>
    <row r="30" spans="1:10" s="13" customFormat="1">
      <c r="A30" s="5">
        <v>22</v>
      </c>
      <c r="B30" s="6">
        <v>5710793</v>
      </c>
      <c r="C30" s="7">
        <v>13</v>
      </c>
      <c r="D30" s="7">
        <v>8</v>
      </c>
      <c r="E30" s="7">
        <v>12</v>
      </c>
      <c r="F30" s="8">
        <f t="shared" si="2"/>
        <v>29.333333333333332</v>
      </c>
      <c r="G30" s="8">
        <v>16</v>
      </c>
      <c r="H30" s="8">
        <v>20</v>
      </c>
      <c r="I30" s="9">
        <f t="shared" si="3"/>
        <v>36</v>
      </c>
      <c r="J30" s="9">
        <f t="shared" si="4"/>
        <v>65.333333333333329</v>
      </c>
    </row>
    <row r="31" spans="1:10" s="13" customFormat="1">
      <c r="A31" s="5">
        <v>23</v>
      </c>
      <c r="B31" s="6">
        <v>5711460</v>
      </c>
      <c r="C31" s="7">
        <v>8</v>
      </c>
      <c r="D31" s="7">
        <v>10</v>
      </c>
      <c r="E31" s="7">
        <v>10</v>
      </c>
      <c r="F31" s="8">
        <f t="shared" si="2"/>
        <v>24.888888888888889</v>
      </c>
      <c r="G31" s="8">
        <v>17</v>
      </c>
      <c r="H31" s="8">
        <v>17</v>
      </c>
      <c r="I31" s="9">
        <f t="shared" si="3"/>
        <v>34</v>
      </c>
      <c r="J31" s="9">
        <f t="shared" si="4"/>
        <v>58.888888888888886</v>
      </c>
    </row>
    <row r="32" spans="1:10" s="13" customFormat="1">
      <c r="A32" s="5">
        <v>24</v>
      </c>
      <c r="B32" s="6">
        <v>5724514</v>
      </c>
      <c r="C32" s="6">
        <v>8</v>
      </c>
      <c r="D32" s="6">
        <v>10</v>
      </c>
      <c r="E32" s="6">
        <v>15</v>
      </c>
      <c r="F32" s="8">
        <f t="shared" si="2"/>
        <v>29.333333333333332</v>
      </c>
      <c r="G32" s="8">
        <v>5</v>
      </c>
      <c r="H32" s="8">
        <v>17</v>
      </c>
      <c r="I32" s="9">
        <f t="shared" si="3"/>
        <v>22</v>
      </c>
      <c r="J32" s="9">
        <f t="shared" si="4"/>
        <v>51.333333333333329</v>
      </c>
    </row>
    <row r="33" spans="1:10" s="13" customFormat="1">
      <c r="A33" s="5">
        <v>25</v>
      </c>
      <c r="B33" s="6">
        <v>5740460</v>
      </c>
      <c r="C33" s="7">
        <v>12</v>
      </c>
      <c r="D33" s="7">
        <v>15</v>
      </c>
      <c r="E33" s="7">
        <v>13</v>
      </c>
      <c r="F33" s="8">
        <f t="shared" si="2"/>
        <v>35.555555555555557</v>
      </c>
      <c r="G33" s="8">
        <v>15</v>
      </c>
      <c r="H33" s="8">
        <v>15</v>
      </c>
      <c r="I33" s="9">
        <f t="shared" si="3"/>
        <v>30</v>
      </c>
      <c r="J33" s="9">
        <f t="shared" si="4"/>
        <v>65.555555555555557</v>
      </c>
    </row>
    <row r="34" spans="1:10" s="13" customFormat="1">
      <c r="A34" s="5">
        <v>26</v>
      </c>
      <c r="B34" s="6">
        <v>5746903</v>
      </c>
      <c r="C34" s="7">
        <v>11</v>
      </c>
      <c r="D34" s="7">
        <v>8</v>
      </c>
      <c r="E34" s="7">
        <v>13</v>
      </c>
      <c r="F34" s="8">
        <f t="shared" si="2"/>
        <v>28.444444444444446</v>
      </c>
      <c r="G34" s="8">
        <v>15</v>
      </c>
      <c r="H34" s="8">
        <v>18</v>
      </c>
      <c r="I34" s="9">
        <f t="shared" si="3"/>
        <v>33</v>
      </c>
      <c r="J34" s="9">
        <f t="shared" si="4"/>
        <v>61.444444444444443</v>
      </c>
    </row>
    <row r="35" spans="1:10" s="13" customFormat="1">
      <c r="A35" s="5">
        <v>27</v>
      </c>
      <c r="B35" s="6">
        <v>5777156</v>
      </c>
      <c r="C35" s="7">
        <v>9</v>
      </c>
      <c r="D35" s="7">
        <v>12</v>
      </c>
      <c r="E35" s="7">
        <v>14</v>
      </c>
      <c r="F35" s="8">
        <f t="shared" si="2"/>
        <v>31.111111111111111</v>
      </c>
      <c r="G35" s="8">
        <v>12</v>
      </c>
      <c r="H35" s="8">
        <v>19</v>
      </c>
      <c r="I35" s="9">
        <f t="shared" si="3"/>
        <v>31</v>
      </c>
      <c r="J35" s="9">
        <f t="shared" si="4"/>
        <v>62.111111111111114</v>
      </c>
    </row>
    <row r="36" spans="1:10" s="13" customFormat="1">
      <c r="A36" s="5">
        <v>28</v>
      </c>
      <c r="B36" s="6">
        <v>5788989</v>
      </c>
      <c r="C36" s="7">
        <v>13</v>
      </c>
      <c r="D36" s="7">
        <v>11</v>
      </c>
      <c r="E36" s="7">
        <v>12</v>
      </c>
      <c r="F36" s="8">
        <f t="shared" si="2"/>
        <v>32</v>
      </c>
      <c r="G36" s="8">
        <v>13</v>
      </c>
      <c r="H36" s="8">
        <v>21</v>
      </c>
      <c r="I36" s="9">
        <f t="shared" si="3"/>
        <v>34</v>
      </c>
      <c r="J36" s="9">
        <f t="shared" si="4"/>
        <v>66</v>
      </c>
    </row>
    <row r="37" spans="1:10" s="13" customFormat="1">
      <c r="A37" s="5">
        <v>29</v>
      </c>
      <c r="B37" s="6">
        <v>5791860</v>
      </c>
      <c r="C37" s="7">
        <v>14</v>
      </c>
      <c r="D37" s="7">
        <v>10</v>
      </c>
      <c r="E37" s="7">
        <v>11</v>
      </c>
      <c r="F37" s="8">
        <f t="shared" si="2"/>
        <v>31.111111111111111</v>
      </c>
      <c r="G37" s="8">
        <v>14</v>
      </c>
      <c r="H37" s="8">
        <v>17</v>
      </c>
      <c r="I37" s="9">
        <f t="shared" si="3"/>
        <v>31</v>
      </c>
      <c r="J37" s="9">
        <f t="shared" si="4"/>
        <v>62.111111111111114</v>
      </c>
    </row>
    <row r="38" spans="1:10" s="13" customFormat="1">
      <c r="A38" s="5">
        <v>30</v>
      </c>
      <c r="B38" s="6">
        <v>5854524</v>
      </c>
      <c r="C38" s="7">
        <v>12</v>
      </c>
      <c r="D38" s="7">
        <v>9</v>
      </c>
      <c r="E38" s="7">
        <v>9</v>
      </c>
      <c r="F38" s="8">
        <f t="shared" si="2"/>
        <v>26.666666666666671</v>
      </c>
      <c r="G38" s="8">
        <v>10</v>
      </c>
      <c r="H38" s="8">
        <v>10</v>
      </c>
      <c r="I38" s="9">
        <f t="shared" si="3"/>
        <v>20</v>
      </c>
      <c r="J38" s="9">
        <f t="shared" si="4"/>
        <v>46.666666666666671</v>
      </c>
    </row>
    <row r="39" spans="1:10" s="13" customFormat="1">
      <c r="A39" s="5">
        <v>31</v>
      </c>
      <c r="B39" s="6">
        <v>5867180</v>
      </c>
      <c r="C39" s="7">
        <v>14</v>
      </c>
      <c r="D39" s="7">
        <v>14</v>
      </c>
      <c r="E39" s="7">
        <v>14</v>
      </c>
      <c r="F39" s="8">
        <f t="shared" si="2"/>
        <v>37.333333333333336</v>
      </c>
      <c r="G39" s="8">
        <v>11</v>
      </c>
      <c r="H39" s="8">
        <v>21</v>
      </c>
      <c r="I39" s="9">
        <f t="shared" si="3"/>
        <v>32</v>
      </c>
      <c r="J39" s="9">
        <f t="shared" si="4"/>
        <v>69.333333333333343</v>
      </c>
    </row>
    <row r="40" spans="1:10" s="13" customFormat="1">
      <c r="A40" s="5">
        <v>32</v>
      </c>
      <c r="B40" s="6">
        <v>5901594</v>
      </c>
      <c r="C40" s="7">
        <v>10</v>
      </c>
      <c r="D40" s="7">
        <v>12</v>
      </c>
      <c r="E40" s="7">
        <v>15</v>
      </c>
      <c r="F40" s="8">
        <f t="shared" si="2"/>
        <v>32.888888888888893</v>
      </c>
      <c r="G40" s="8">
        <v>16</v>
      </c>
      <c r="H40" s="8">
        <v>17</v>
      </c>
      <c r="I40" s="9">
        <f t="shared" si="3"/>
        <v>33</v>
      </c>
      <c r="J40" s="9">
        <f t="shared" si="4"/>
        <v>65.888888888888886</v>
      </c>
    </row>
    <row r="41" spans="1:10" s="13" customFormat="1">
      <c r="A41" s="5">
        <v>33</v>
      </c>
      <c r="B41" s="6">
        <v>5989434</v>
      </c>
      <c r="C41" s="6">
        <v>12</v>
      </c>
      <c r="D41" s="6">
        <v>11</v>
      </c>
      <c r="E41" s="6">
        <v>13</v>
      </c>
      <c r="F41" s="8">
        <f t="shared" ref="F41:F71" si="5">SUM(C41:E41)*100/45*0.4</f>
        <v>32</v>
      </c>
      <c r="G41" s="8">
        <v>17</v>
      </c>
      <c r="H41" s="8">
        <v>18</v>
      </c>
      <c r="I41" s="9">
        <f t="shared" ref="I41:I71" si="6">SUM(G41:H41)</f>
        <v>35</v>
      </c>
      <c r="J41" s="9">
        <f t="shared" ref="J41:J71" si="7">F41+I41</f>
        <v>67</v>
      </c>
    </row>
    <row r="42" spans="1:10" s="13" customFormat="1">
      <c r="A42" s="5">
        <v>34</v>
      </c>
      <c r="B42" s="6">
        <v>5989478</v>
      </c>
      <c r="C42" s="7">
        <v>8</v>
      </c>
      <c r="D42" s="7">
        <v>8</v>
      </c>
      <c r="E42" s="7">
        <v>8</v>
      </c>
      <c r="F42" s="8">
        <f t="shared" si="5"/>
        <v>21.333333333333336</v>
      </c>
      <c r="G42" s="8">
        <v>14</v>
      </c>
      <c r="H42" s="8">
        <v>13</v>
      </c>
      <c r="I42" s="9">
        <f t="shared" si="6"/>
        <v>27</v>
      </c>
      <c r="J42" s="9">
        <f t="shared" si="7"/>
        <v>48.333333333333336</v>
      </c>
    </row>
    <row r="43" spans="1:10" s="13" customFormat="1">
      <c r="A43" s="5">
        <v>35</v>
      </c>
      <c r="B43" s="6">
        <v>5991971</v>
      </c>
      <c r="C43" s="7">
        <v>11</v>
      </c>
      <c r="D43" s="7">
        <v>10</v>
      </c>
      <c r="E43" s="7">
        <v>9</v>
      </c>
      <c r="F43" s="8">
        <f t="shared" si="5"/>
        <v>26.666666666666671</v>
      </c>
      <c r="G43" s="8">
        <v>17</v>
      </c>
      <c r="H43" s="8">
        <v>21</v>
      </c>
      <c r="I43" s="9">
        <f t="shared" si="6"/>
        <v>38</v>
      </c>
      <c r="J43" s="9">
        <f t="shared" si="7"/>
        <v>64.666666666666671</v>
      </c>
    </row>
    <row r="44" spans="1:10" s="13" customFormat="1">
      <c r="A44" s="5">
        <v>36</v>
      </c>
      <c r="B44" s="6">
        <v>6056203</v>
      </c>
      <c r="C44" s="7">
        <v>8</v>
      </c>
      <c r="D44" s="7">
        <v>11</v>
      </c>
      <c r="E44" s="7">
        <v>9</v>
      </c>
      <c r="F44" s="8">
        <f t="shared" si="5"/>
        <v>24.888888888888889</v>
      </c>
      <c r="G44" s="8">
        <v>17</v>
      </c>
      <c r="H44" s="8">
        <v>21</v>
      </c>
      <c r="I44" s="9">
        <f t="shared" si="6"/>
        <v>38</v>
      </c>
      <c r="J44" s="9">
        <f t="shared" si="7"/>
        <v>62.888888888888886</v>
      </c>
    </row>
    <row r="45" spans="1:10" s="13" customFormat="1">
      <c r="A45" s="5">
        <v>37</v>
      </c>
      <c r="B45" s="6">
        <v>6103030</v>
      </c>
      <c r="C45" s="7">
        <v>7</v>
      </c>
      <c r="D45" s="7">
        <v>7</v>
      </c>
      <c r="E45" s="7">
        <v>8</v>
      </c>
      <c r="F45" s="8">
        <f t="shared" si="5"/>
        <v>19.555555555555557</v>
      </c>
      <c r="G45" s="8">
        <v>5</v>
      </c>
      <c r="H45" s="8">
        <v>8</v>
      </c>
      <c r="I45" s="9">
        <f t="shared" si="6"/>
        <v>13</v>
      </c>
      <c r="J45" s="9">
        <f t="shared" si="7"/>
        <v>32.555555555555557</v>
      </c>
    </row>
    <row r="46" spans="1:10" s="13" customFormat="1">
      <c r="A46" s="5">
        <v>38</v>
      </c>
      <c r="B46" s="6">
        <v>6105164</v>
      </c>
      <c r="C46" s="7">
        <v>14</v>
      </c>
      <c r="D46" s="7">
        <v>10</v>
      </c>
      <c r="E46" s="7">
        <v>6</v>
      </c>
      <c r="F46" s="8">
        <f t="shared" si="5"/>
        <v>26.666666666666671</v>
      </c>
      <c r="G46" s="8">
        <v>12</v>
      </c>
      <c r="H46" s="8">
        <v>21</v>
      </c>
      <c r="I46" s="9">
        <f t="shared" si="6"/>
        <v>33</v>
      </c>
      <c r="J46" s="9">
        <f t="shared" si="7"/>
        <v>59.666666666666671</v>
      </c>
    </row>
    <row r="47" spans="1:10" s="13" customFormat="1">
      <c r="A47" s="5">
        <v>39</v>
      </c>
      <c r="B47" s="6">
        <v>6112755</v>
      </c>
      <c r="C47" s="7">
        <v>14</v>
      </c>
      <c r="D47" s="7">
        <v>14</v>
      </c>
      <c r="E47" s="7">
        <v>15</v>
      </c>
      <c r="F47" s="8">
        <f t="shared" si="5"/>
        <v>38.222222222222221</v>
      </c>
      <c r="G47" s="8">
        <v>22</v>
      </c>
      <c r="H47" s="8">
        <v>25</v>
      </c>
      <c r="I47" s="9">
        <f t="shared" si="6"/>
        <v>47</v>
      </c>
      <c r="J47" s="9">
        <f t="shared" si="7"/>
        <v>85.222222222222229</v>
      </c>
    </row>
    <row r="48" spans="1:10" s="13" customFormat="1">
      <c r="A48" s="5">
        <v>40</v>
      </c>
      <c r="B48" s="6">
        <v>6124375</v>
      </c>
      <c r="C48" s="7">
        <v>15</v>
      </c>
      <c r="D48" s="7">
        <v>15</v>
      </c>
      <c r="E48" s="7">
        <v>15</v>
      </c>
      <c r="F48" s="8">
        <f t="shared" si="5"/>
        <v>40</v>
      </c>
      <c r="G48" s="8">
        <v>15</v>
      </c>
      <c r="H48" s="8">
        <v>22</v>
      </c>
      <c r="I48" s="9">
        <f t="shared" si="6"/>
        <v>37</v>
      </c>
      <c r="J48" s="9">
        <f t="shared" si="7"/>
        <v>77</v>
      </c>
    </row>
    <row r="49" spans="1:10" s="13" customFormat="1">
      <c r="A49" s="5">
        <v>41</v>
      </c>
      <c r="B49" s="6">
        <v>6215335</v>
      </c>
      <c r="C49" s="7">
        <v>15</v>
      </c>
      <c r="D49" s="7">
        <v>13</v>
      </c>
      <c r="E49" s="7">
        <v>15</v>
      </c>
      <c r="F49" s="8">
        <f t="shared" si="5"/>
        <v>38.222222222222221</v>
      </c>
      <c r="G49" s="8">
        <v>9</v>
      </c>
      <c r="H49" s="8">
        <v>16</v>
      </c>
      <c r="I49" s="9">
        <f t="shared" si="6"/>
        <v>25</v>
      </c>
      <c r="J49" s="9">
        <f t="shared" si="7"/>
        <v>63.222222222222221</v>
      </c>
    </row>
    <row r="50" spans="1:10" s="13" customFormat="1">
      <c r="A50" s="5">
        <v>42</v>
      </c>
      <c r="B50" s="6">
        <v>6220094</v>
      </c>
      <c r="C50" s="7">
        <v>15</v>
      </c>
      <c r="D50" s="7">
        <v>15</v>
      </c>
      <c r="E50" s="7">
        <v>14</v>
      </c>
      <c r="F50" s="8">
        <f t="shared" si="5"/>
        <v>39.111111111111114</v>
      </c>
      <c r="G50" s="8">
        <v>15</v>
      </c>
      <c r="H50" s="8">
        <v>23</v>
      </c>
      <c r="I50" s="9">
        <f t="shared" si="6"/>
        <v>38</v>
      </c>
      <c r="J50" s="9">
        <f t="shared" si="7"/>
        <v>77.111111111111114</v>
      </c>
    </row>
    <row r="51" spans="1:10" s="13" customFormat="1">
      <c r="A51" s="5">
        <v>43</v>
      </c>
      <c r="B51" s="6">
        <v>6221818</v>
      </c>
      <c r="C51" s="7">
        <v>7</v>
      </c>
      <c r="D51" s="7">
        <v>12</v>
      </c>
      <c r="E51" s="7">
        <v>9</v>
      </c>
      <c r="F51" s="8">
        <f t="shared" si="5"/>
        <v>24.888888888888889</v>
      </c>
      <c r="G51" s="8">
        <v>10</v>
      </c>
      <c r="H51" s="8">
        <v>20</v>
      </c>
      <c r="I51" s="9">
        <f t="shared" si="6"/>
        <v>30</v>
      </c>
      <c r="J51" s="9">
        <f t="shared" si="7"/>
        <v>54.888888888888886</v>
      </c>
    </row>
    <row r="52" spans="1:10" s="13" customFormat="1">
      <c r="A52" s="5">
        <v>44</v>
      </c>
      <c r="B52" s="6">
        <v>6228581</v>
      </c>
      <c r="C52" s="6">
        <v>7</v>
      </c>
      <c r="D52" s="6">
        <v>10</v>
      </c>
      <c r="E52" s="6">
        <v>7</v>
      </c>
      <c r="F52" s="8">
        <f t="shared" si="5"/>
        <v>21.333333333333336</v>
      </c>
      <c r="G52" s="8">
        <v>5</v>
      </c>
      <c r="H52" s="8">
        <v>12</v>
      </c>
      <c r="I52" s="9">
        <f t="shared" si="6"/>
        <v>17</v>
      </c>
      <c r="J52" s="9">
        <f t="shared" si="7"/>
        <v>38.333333333333336</v>
      </c>
    </row>
    <row r="53" spans="1:10" s="13" customFormat="1">
      <c r="A53" s="5">
        <v>45</v>
      </c>
      <c r="B53" s="6">
        <v>6258048</v>
      </c>
      <c r="C53" s="7">
        <v>12</v>
      </c>
      <c r="D53" s="7">
        <v>11</v>
      </c>
      <c r="E53" s="7">
        <v>14</v>
      </c>
      <c r="F53" s="8">
        <f t="shared" si="5"/>
        <v>32.888888888888893</v>
      </c>
      <c r="G53" s="8">
        <v>7</v>
      </c>
      <c r="H53" s="8">
        <v>17</v>
      </c>
      <c r="I53" s="9">
        <f t="shared" si="6"/>
        <v>24</v>
      </c>
      <c r="J53" s="9">
        <f t="shared" si="7"/>
        <v>56.888888888888893</v>
      </c>
    </row>
    <row r="54" spans="1:10" s="13" customFormat="1">
      <c r="A54" s="5">
        <v>46</v>
      </c>
      <c r="B54" s="6">
        <v>6259967</v>
      </c>
      <c r="C54" s="7">
        <v>12</v>
      </c>
      <c r="D54" s="7">
        <v>14</v>
      </c>
      <c r="E54" s="7">
        <v>15</v>
      </c>
      <c r="F54" s="8">
        <f t="shared" si="5"/>
        <v>36.44444444444445</v>
      </c>
      <c r="G54" s="8">
        <v>16</v>
      </c>
      <c r="H54" s="8">
        <v>23</v>
      </c>
      <c r="I54" s="9">
        <f t="shared" si="6"/>
        <v>39</v>
      </c>
      <c r="J54" s="9">
        <f t="shared" si="7"/>
        <v>75.444444444444457</v>
      </c>
    </row>
    <row r="55" spans="1:10" s="13" customFormat="1">
      <c r="A55" s="5">
        <v>47</v>
      </c>
      <c r="B55" s="6">
        <v>6324803</v>
      </c>
      <c r="C55" s="7">
        <v>8</v>
      </c>
      <c r="D55" s="7">
        <v>9</v>
      </c>
      <c r="E55" s="7">
        <v>15</v>
      </c>
      <c r="F55" s="8">
        <f t="shared" si="5"/>
        <v>28.444444444444446</v>
      </c>
      <c r="G55" s="8">
        <v>11</v>
      </c>
      <c r="H55" s="8">
        <v>9</v>
      </c>
      <c r="I55" s="9">
        <f t="shared" si="6"/>
        <v>20</v>
      </c>
      <c r="J55" s="9">
        <f t="shared" si="7"/>
        <v>48.444444444444443</v>
      </c>
    </row>
    <row r="56" spans="1:10" s="13" customFormat="1">
      <c r="A56" s="5">
        <v>48</v>
      </c>
      <c r="B56" s="6">
        <v>6358529</v>
      </c>
      <c r="C56" s="7">
        <v>12</v>
      </c>
      <c r="D56" s="7">
        <v>14</v>
      </c>
      <c r="E56" s="7">
        <v>13</v>
      </c>
      <c r="F56" s="8">
        <f t="shared" si="5"/>
        <v>34.666666666666671</v>
      </c>
      <c r="G56" s="8">
        <v>15</v>
      </c>
      <c r="H56" s="8">
        <v>22</v>
      </c>
      <c r="I56" s="9">
        <f t="shared" si="6"/>
        <v>37</v>
      </c>
      <c r="J56" s="9">
        <f t="shared" si="7"/>
        <v>71.666666666666671</v>
      </c>
    </row>
    <row r="57" spans="1:10" s="13" customFormat="1">
      <c r="A57" s="5">
        <v>49</v>
      </c>
      <c r="B57" s="6">
        <v>6360024</v>
      </c>
      <c r="C57" s="7">
        <v>13</v>
      </c>
      <c r="D57" s="7">
        <v>12</v>
      </c>
      <c r="E57" s="7">
        <v>8</v>
      </c>
      <c r="F57" s="8">
        <f t="shared" si="5"/>
        <v>29.333333333333332</v>
      </c>
      <c r="G57" s="8">
        <v>9</v>
      </c>
      <c r="H57" s="8">
        <v>16</v>
      </c>
      <c r="I57" s="9">
        <f t="shared" si="6"/>
        <v>25</v>
      </c>
      <c r="J57" s="9">
        <f t="shared" si="7"/>
        <v>54.333333333333329</v>
      </c>
    </row>
    <row r="58" spans="1:10" s="13" customFormat="1">
      <c r="A58" s="5">
        <v>50</v>
      </c>
      <c r="B58" s="6">
        <v>6363829</v>
      </c>
      <c r="C58" s="7">
        <v>13</v>
      </c>
      <c r="D58" s="7">
        <v>14</v>
      </c>
      <c r="E58" s="7">
        <v>15</v>
      </c>
      <c r="F58" s="8">
        <f t="shared" si="5"/>
        <v>37.333333333333336</v>
      </c>
      <c r="G58" s="8">
        <v>14</v>
      </c>
      <c r="H58" s="8">
        <v>18</v>
      </c>
      <c r="I58" s="9">
        <f t="shared" si="6"/>
        <v>32</v>
      </c>
      <c r="J58" s="9">
        <f t="shared" si="7"/>
        <v>69.333333333333343</v>
      </c>
    </row>
    <row r="59" spans="1:10" s="13" customFormat="1">
      <c r="A59" s="5">
        <v>51</v>
      </c>
      <c r="B59" s="6">
        <v>6590344</v>
      </c>
      <c r="C59" s="7">
        <v>15</v>
      </c>
      <c r="D59" s="7">
        <v>15</v>
      </c>
      <c r="E59" s="7">
        <v>15</v>
      </c>
      <c r="F59" s="8">
        <f t="shared" si="5"/>
        <v>40</v>
      </c>
      <c r="G59" s="8">
        <v>11</v>
      </c>
      <c r="H59" s="8">
        <v>20</v>
      </c>
      <c r="I59" s="9">
        <f t="shared" si="6"/>
        <v>31</v>
      </c>
      <c r="J59" s="9">
        <f t="shared" si="7"/>
        <v>71</v>
      </c>
    </row>
    <row r="60" spans="1:10" s="13" customFormat="1">
      <c r="A60" s="5">
        <v>52</v>
      </c>
      <c r="B60" s="6">
        <v>6613330</v>
      </c>
      <c r="C60" s="7">
        <v>12</v>
      </c>
      <c r="D60" s="7">
        <v>11</v>
      </c>
      <c r="E60" s="7">
        <v>8</v>
      </c>
      <c r="F60" s="8">
        <f t="shared" si="5"/>
        <v>27.555555555555557</v>
      </c>
      <c r="G60" s="8">
        <v>14</v>
      </c>
      <c r="H60" s="8">
        <v>23</v>
      </c>
      <c r="I60" s="9">
        <f t="shared" si="6"/>
        <v>37</v>
      </c>
      <c r="J60" s="9">
        <f t="shared" si="7"/>
        <v>64.555555555555557</v>
      </c>
    </row>
    <row r="61" spans="1:10" s="13" customFormat="1">
      <c r="A61" s="5">
        <v>53</v>
      </c>
      <c r="B61" s="6">
        <v>6737491</v>
      </c>
      <c r="C61" s="7">
        <v>15</v>
      </c>
      <c r="D61" s="7">
        <v>10</v>
      </c>
      <c r="E61" s="7">
        <v>10</v>
      </c>
      <c r="F61" s="8">
        <f t="shared" si="5"/>
        <v>31.111111111111111</v>
      </c>
      <c r="G61" s="8">
        <v>10</v>
      </c>
      <c r="H61" s="8">
        <v>18</v>
      </c>
      <c r="I61" s="9">
        <f t="shared" si="6"/>
        <v>28</v>
      </c>
      <c r="J61" s="9">
        <f t="shared" si="7"/>
        <v>59.111111111111114</v>
      </c>
    </row>
    <row r="62" spans="1:10" s="13" customFormat="1">
      <c r="A62" s="5">
        <v>54</v>
      </c>
      <c r="B62" s="6">
        <v>6803950</v>
      </c>
      <c r="C62" s="7">
        <v>7</v>
      </c>
      <c r="D62" s="7">
        <v>8</v>
      </c>
      <c r="E62" s="7">
        <v>9</v>
      </c>
      <c r="F62" s="8">
        <f t="shared" si="5"/>
        <v>21.333333333333336</v>
      </c>
      <c r="G62" s="8">
        <v>5</v>
      </c>
      <c r="H62" s="8">
        <v>12</v>
      </c>
      <c r="I62" s="9">
        <f t="shared" si="6"/>
        <v>17</v>
      </c>
      <c r="J62" s="9">
        <f t="shared" si="7"/>
        <v>38.333333333333336</v>
      </c>
    </row>
    <row r="63" spans="1:10" s="13" customFormat="1">
      <c r="A63" s="5">
        <v>55</v>
      </c>
      <c r="B63" s="6">
        <v>6940868</v>
      </c>
      <c r="C63" s="7">
        <v>15</v>
      </c>
      <c r="D63" s="7">
        <v>15</v>
      </c>
      <c r="E63" s="7">
        <v>13</v>
      </c>
      <c r="F63" s="8">
        <f t="shared" si="5"/>
        <v>38.222222222222221</v>
      </c>
      <c r="G63" s="8">
        <v>9</v>
      </c>
      <c r="H63" s="8">
        <v>13</v>
      </c>
      <c r="I63" s="9">
        <f t="shared" si="6"/>
        <v>22</v>
      </c>
      <c r="J63" s="9">
        <f t="shared" si="7"/>
        <v>60.222222222222221</v>
      </c>
    </row>
    <row r="64" spans="1:10" s="13" customFormat="1">
      <c r="A64" s="5">
        <v>56</v>
      </c>
      <c r="B64" s="6">
        <v>6948763</v>
      </c>
      <c r="C64" s="7">
        <v>15</v>
      </c>
      <c r="D64" s="7">
        <v>15</v>
      </c>
      <c r="E64" s="7">
        <v>15</v>
      </c>
      <c r="F64" s="8">
        <f t="shared" si="5"/>
        <v>40</v>
      </c>
      <c r="G64" s="8">
        <v>16</v>
      </c>
      <c r="H64" s="8">
        <v>19</v>
      </c>
      <c r="I64" s="9">
        <f t="shared" si="6"/>
        <v>35</v>
      </c>
      <c r="J64" s="9">
        <f t="shared" si="7"/>
        <v>75</v>
      </c>
    </row>
    <row r="65" spans="1:10" s="13" customFormat="1">
      <c r="A65" s="5">
        <v>57</v>
      </c>
      <c r="B65" s="6">
        <v>7108741</v>
      </c>
      <c r="C65" s="7">
        <v>14</v>
      </c>
      <c r="D65" s="7">
        <v>15</v>
      </c>
      <c r="E65" s="7">
        <v>15</v>
      </c>
      <c r="F65" s="8">
        <f t="shared" si="5"/>
        <v>39.111111111111114</v>
      </c>
      <c r="G65" s="8">
        <v>7</v>
      </c>
      <c r="H65" s="8">
        <v>19</v>
      </c>
      <c r="I65" s="9">
        <f t="shared" si="6"/>
        <v>26</v>
      </c>
      <c r="J65" s="9">
        <f t="shared" si="7"/>
        <v>65.111111111111114</v>
      </c>
    </row>
    <row r="66" spans="1:10" s="13" customFormat="1">
      <c r="A66" s="5">
        <v>58</v>
      </c>
      <c r="B66" s="6">
        <v>7482544</v>
      </c>
      <c r="C66" s="7">
        <v>9</v>
      </c>
      <c r="D66" s="7">
        <v>8</v>
      </c>
      <c r="E66" s="7">
        <v>12</v>
      </c>
      <c r="F66" s="8">
        <f t="shared" si="5"/>
        <v>25.777777777777779</v>
      </c>
      <c r="G66" s="8">
        <v>7</v>
      </c>
      <c r="H66" s="8">
        <v>12</v>
      </c>
      <c r="I66" s="9">
        <f t="shared" si="6"/>
        <v>19</v>
      </c>
      <c r="J66" s="9">
        <f t="shared" si="7"/>
        <v>44.777777777777779</v>
      </c>
    </row>
    <row r="67" spans="1:10" s="13" customFormat="1">
      <c r="A67" s="5">
        <v>59</v>
      </c>
      <c r="B67" s="6">
        <v>7531968</v>
      </c>
      <c r="C67" s="7">
        <v>8</v>
      </c>
      <c r="D67" s="7">
        <v>8</v>
      </c>
      <c r="E67" s="7">
        <v>11</v>
      </c>
      <c r="F67" s="8">
        <f t="shared" si="5"/>
        <v>24</v>
      </c>
      <c r="G67" s="8">
        <v>14</v>
      </c>
      <c r="H67" s="8">
        <v>13</v>
      </c>
      <c r="I67" s="9">
        <f t="shared" si="6"/>
        <v>27</v>
      </c>
      <c r="J67" s="9">
        <f t="shared" si="7"/>
        <v>51</v>
      </c>
    </row>
    <row r="68" spans="1:10" s="13" customFormat="1">
      <c r="A68" s="5">
        <v>60</v>
      </c>
      <c r="B68" s="6">
        <v>7548893</v>
      </c>
      <c r="C68" s="7">
        <v>11</v>
      </c>
      <c r="D68" s="7">
        <v>12</v>
      </c>
      <c r="E68" s="7">
        <v>8</v>
      </c>
      <c r="F68" s="8">
        <f t="shared" si="5"/>
        <v>27.555555555555557</v>
      </c>
      <c r="G68" s="8">
        <v>6</v>
      </c>
      <c r="H68" s="8">
        <v>23</v>
      </c>
      <c r="I68" s="9">
        <f t="shared" si="6"/>
        <v>29</v>
      </c>
      <c r="J68" s="9">
        <f t="shared" si="7"/>
        <v>56.555555555555557</v>
      </c>
    </row>
    <row r="69" spans="1:10" s="13" customFormat="1">
      <c r="A69" s="5">
        <v>61</v>
      </c>
      <c r="B69" s="6">
        <v>7769702</v>
      </c>
      <c r="C69" s="7">
        <v>14</v>
      </c>
      <c r="D69" s="7">
        <v>9</v>
      </c>
      <c r="E69" s="7">
        <v>15</v>
      </c>
      <c r="F69" s="8">
        <f t="shared" si="5"/>
        <v>33.777777777777779</v>
      </c>
      <c r="G69" s="8">
        <v>6</v>
      </c>
      <c r="H69" s="8">
        <v>15</v>
      </c>
      <c r="I69" s="9">
        <f t="shared" si="6"/>
        <v>21</v>
      </c>
      <c r="J69" s="9">
        <f t="shared" si="7"/>
        <v>54.777777777777779</v>
      </c>
    </row>
    <row r="70" spans="1:10" s="13" customFormat="1">
      <c r="A70" s="5">
        <v>62</v>
      </c>
      <c r="B70" s="6">
        <v>8181739</v>
      </c>
      <c r="C70" s="7">
        <v>15</v>
      </c>
      <c r="D70" s="7">
        <v>15</v>
      </c>
      <c r="E70" s="7">
        <v>15</v>
      </c>
      <c r="F70" s="8">
        <f t="shared" si="5"/>
        <v>40</v>
      </c>
      <c r="G70" s="8">
        <v>14</v>
      </c>
      <c r="H70" s="8">
        <v>21</v>
      </c>
      <c r="I70" s="9">
        <f t="shared" si="6"/>
        <v>35</v>
      </c>
      <c r="J70" s="9">
        <f t="shared" si="7"/>
        <v>75</v>
      </c>
    </row>
    <row r="71" spans="1:10" s="13" customFormat="1" ht="15.75" thickBot="1">
      <c r="A71" s="5">
        <v>63</v>
      </c>
      <c r="B71" s="6">
        <v>43461874</v>
      </c>
      <c r="C71" s="7">
        <v>11</v>
      </c>
      <c r="D71" s="7">
        <v>7</v>
      </c>
      <c r="E71" s="7">
        <v>13</v>
      </c>
      <c r="F71" s="8">
        <f t="shared" si="5"/>
        <v>27.555555555555557</v>
      </c>
      <c r="G71" s="8">
        <v>7</v>
      </c>
      <c r="H71" s="8">
        <v>14</v>
      </c>
      <c r="I71" s="9">
        <f t="shared" si="6"/>
        <v>21</v>
      </c>
      <c r="J71" s="9">
        <f t="shared" si="7"/>
        <v>48.555555555555557</v>
      </c>
    </row>
    <row r="72" spans="1:10" s="13" customFormat="1" ht="15.75" thickBot="1">
      <c r="A72" s="14" t="s">
        <v>17</v>
      </c>
      <c r="B72" s="15"/>
      <c r="C72" s="15"/>
      <c r="D72" s="15"/>
      <c r="E72" s="15"/>
      <c r="F72" s="15"/>
      <c r="G72" s="15"/>
      <c r="H72" s="15"/>
      <c r="I72" s="15"/>
      <c r="J72" s="16"/>
    </row>
  </sheetData>
  <autoFilter ref="B1:B72"/>
  <sortState ref="B9:K72">
    <sortCondition ref="B9:B72"/>
  </sortState>
  <mergeCells count="13">
    <mergeCell ref="A72:J72"/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87" orientation="portrait" r:id="rId1"/>
  <rowBreaks count="1" manualBreakCount="1">
    <brk id="5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MECANICA AUTOMOTRIZ</vt:lpstr>
      <vt:lpstr>'MECANICA AUTOMOTRIZ'!Títulos_a_imprimir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2021-02-25T09:57:45Z</cp:lastPrinted>
  <dcterms:created xsi:type="dcterms:W3CDTF">2016-02-17T13:19:12Z</dcterms:created>
  <dcterms:modified xsi:type="dcterms:W3CDTF">2021-03-05T09:50:29Z</dcterms:modified>
</cp:coreProperties>
</file>