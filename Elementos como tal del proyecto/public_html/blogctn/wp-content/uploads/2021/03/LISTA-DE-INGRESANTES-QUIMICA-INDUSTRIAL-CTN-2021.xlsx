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20055" windowHeight="7935" tabRatio="924"/>
  </bookViews>
  <sheets>
    <sheet name="QCA (1)" sheetId="57" r:id="rId1"/>
    <sheet name="QCA (2)" sheetId="68" r:id="rId2"/>
    <sheet name="QCA(3)" sheetId="67" r:id="rId3"/>
  </sheets>
  <definedNames>
    <definedName name="_xlnm.Print_Titles" localSheetId="0">'QCA (1)'!$1:$8</definedName>
    <definedName name="_xlnm.Print_Titles" localSheetId="1">'QCA (2)'!$1:$8</definedName>
    <definedName name="_xlnm.Print_Titles" localSheetId="2">'QCA(3)'!$1:$8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27" i="67" l="1"/>
  <c r="G27" i="67"/>
  <c r="K27" i="67" s="1"/>
  <c r="J23" i="67"/>
  <c r="G23" i="67"/>
  <c r="K23" i="67" s="1"/>
  <c r="J22" i="67"/>
  <c r="G22" i="67"/>
  <c r="K22" i="67" s="1"/>
  <c r="J29" i="67"/>
  <c r="G29" i="67"/>
  <c r="K29" i="67" s="1"/>
  <c r="J17" i="67"/>
  <c r="G17" i="67"/>
  <c r="K17" i="67" s="1"/>
  <c r="J12" i="67"/>
  <c r="G12" i="67"/>
  <c r="K12" i="67" s="1"/>
  <c r="J11" i="67"/>
  <c r="G11" i="67"/>
  <c r="K11" i="67" s="1"/>
  <c r="J25" i="67"/>
  <c r="G25" i="67"/>
  <c r="K25" i="67" s="1"/>
  <c r="J30" i="67"/>
  <c r="G30" i="67"/>
  <c r="K30" i="67" s="1"/>
  <c r="J34" i="67"/>
  <c r="G34" i="67"/>
  <c r="K34" i="67" s="1"/>
  <c r="J9" i="67"/>
  <c r="G9" i="67"/>
  <c r="K9" i="67" s="1"/>
  <c r="J31" i="67"/>
  <c r="G31" i="67"/>
  <c r="K31" i="67" s="1"/>
  <c r="J33" i="67"/>
  <c r="G33" i="67"/>
  <c r="K33" i="67" s="1"/>
  <c r="J20" i="67"/>
  <c r="G20" i="67"/>
  <c r="K20" i="67" s="1"/>
  <c r="J18" i="67"/>
  <c r="G18" i="67"/>
  <c r="K18" i="67" s="1"/>
  <c r="J32" i="67"/>
  <c r="G32" i="67"/>
  <c r="K32" i="67" s="1"/>
  <c r="J19" i="67"/>
  <c r="G19" i="67"/>
  <c r="K19" i="67" s="1"/>
  <c r="J36" i="67"/>
  <c r="G36" i="67"/>
  <c r="K36" i="67" s="1"/>
  <c r="J15" i="67"/>
  <c r="G15" i="67"/>
  <c r="K15" i="67" s="1"/>
  <c r="J24" i="67"/>
  <c r="G24" i="67"/>
  <c r="K24" i="67" s="1"/>
  <c r="J13" i="67"/>
  <c r="G13" i="67"/>
  <c r="K13" i="67" s="1"/>
  <c r="J21" i="67"/>
  <c r="G21" i="67"/>
  <c r="K21" i="67" s="1"/>
  <c r="J28" i="67"/>
  <c r="G28" i="67"/>
  <c r="K28" i="67" s="1"/>
  <c r="J14" i="67"/>
  <c r="G14" i="67"/>
  <c r="K14" i="67" s="1"/>
  <c r="J35" i="67"/>
  <c r="G35" i="67"/>
  <c r="K35" i="67" s="1"/>
  <c r="J10" i="67"/>
  <c r="G10" i="67"/>
  <c r="K10" i="67" s="1"/>
  <c r="J26" i="67"/>
  <c r="G26" i="67"/>
  <c r="K26" i="67" s="1"/>
  <c r="J16" i="67"/>
  <c r="G16" i="67"/>
  <c r="K16" i="67" s="1"/>
  <c r="J34" i="68"/>
  <c r="G34" i="68"/>
  <c r="K34" i="68" s="1"/>
  <c r="J22" i="68"/>
  <c r="G22" i="68"/>
  <c r="K22" i="68" s="1"/>
  <c r="J10" i="68"/>
  <c r="G10" i="68"/>
  <c r="K10" i="68" s="1"/>
  <c r="J32" i="68"/>
  <c r="G32" i="68"/>
  <c r="K32" i="68" s="1"/>
  <c r="J16" i="68"/>
  <c r="G16" i="68"/>
  <c r="K16" i="68" s="1"/>
  <c r="J28" i="68"/>
  <c r="G28" i="68"/>
  <c r="K28" i="68" s="1"/>
  <c r="J21" i="68"/>
  <c r="G21" i="68"/>
  <c r="K21" i="68" s="1"/>
  <c r="J15" i="68"/>
  <c r="G15" i="68"/>
  <c r="K15" i="68" s="1"/>
  <c r="J9" i="68"/>
  <c r="G9" i="68"/>
  <c r="K9" i="68" s="1"/>
  <c r="J36" i="68"/>
  <c r="G36" i="68"/>
  <c r="K36" i="68" s="1"/>
  <c r="J20" i="68"/>
  <c r="G20" i="68"/>
  <c r="K20" i="68" s="1"/>
  <c r="J13" i="68"/>
  <c r="G13" i="68"/>
  <c r="K13" i="68" s="1"/>
  <c r="J33" i="68"/>
  <c r="G33" i="68"/>
  <c r="K33" i="68" s="1"/>
  <c r="J26" i="68"/>
  <c r="G26" i="68"/>
  <c r="K26" i="68" s="1"/>
  <c r="J12" i="68"/>
  <c r="G12" i="68"/>
  <c r="K12" i="68" s="1"/>
  <c r="J35" i="68"/>
  <c r="G35" i="68"/>
  <c r="K35" i="68" s="1"/>
  <c r="J29" i="68"/>
  <c r="G29" i="68"/>
  <c r="K29" i="68" s="1"/>
  <c r="J23" i="68"/>
  <c r="G23" i="68"/>
  <c r="K23" i="68" s="1"/>
  <c r="J24" i="68"/>
  <c r="G24" i="68"/>
  <c r="K24" i="68" s="1"/>
  <c r="J11" i="68"/>
  <c r="G11" i="68"/>
  <c r="K11" i="68" s="1"/>
  <c r="J25" i="68"/>
  <c r="G25" i="68"/>
  <c r="K25" i="68" s="1"/>
  <c r="J18" i="68"/>
  <c r="G18" i="68"/>
  <c r="K18" i="68" s="1"/>
  <c r="J17" i="68"/>
  <c r="G17" i="68"/>
  <c r="K17" i="68" s="1"/>
  <c r="J30" i="68"/>
  <c r="G30" i="68"/>
  <c r="K30" i="68" s="1"/>
  <c r="J31" i="68"/>
  <c r="G31" i="68"/>
  <c r="K31" i="68" s="1"/>
  <c r="J27" i="68"/>
  <c r="G27" i="68"/>
  <c r="K27" i="68" s="1"/>
  <c r="J14" i="68"/>
  <c r="G14" i="68"/>
  <c r="K14" i="68" s="1"/>
  <c r="J19" i="68"/>
  <c r="G19" i="68"/>
  <c r="K19" i="68" s="1"/>
  <c r="J25" i="57"/>
  <c r="G25" i="57"/>
  <c r="K25" i="57" s="1"/>
  <c r="J33" i="57"/>
  <c r="G33" i="57"/>
  <c r="K33" i="57" s="1"/>
  <c r="J34" i="57"/>
  <c r="G34" i="57"/>
  <c r="K34" i="57" s="1"/>
  <c r="J31" i="57"/>
  <c r="G31" i="57"/>
  <c r="K31" i="57" s="1"/>
  <c r="J27" i="57"/>
  <c r="G27" i="57"/>
  <c r="K27" i="57" s="1"/>
  <c r="J23" i="57"/>
  <c r="G23" i="57"/>
  <c r="K23" i="57" s="1"/>
  <c r="J17" i="57"/>
  <c r="G17" i="57"/>
  <c r="K17" i="57" s="1"/>
  <c r="J18" i="57"/>
  <c r="G18" i="57"/>
  <c r="K18" i="57" s="1"/>
  <c r="J9" i="57"/>
  <c r="G9" i="57"/>
  <c r="K9" i="57" s="1"/>
  <c r="J32" i="57"/>
  <c r="G32" i="57"/>
  <c r="K32" i="57" s="1"/>
  <c r="J28" i="57"/>
  <c r="G28" i="57"/>
  <c r="K28" i="57" s="1"/>
  <c r="J10" i="57"/>
  <c r="G10" i="57"/>
  <c r="K10" i="57" s="1"/>
  <c r="J35" i="57"/>
  <c r="G35" i="57"/>
  <c r="K35" i="57" s="1"/>
  <c r="J21" i="57"/>
  <c r="G21" i="57"/>
  <c r="K21" i="57" s="1"/>
  <c r="J29" i="57"/>
  <c r="G29" i="57"/>
  <c r="K29" i="57" s="1"/>
  <c r="J11" i="57"/>
  <c r="G11" i="57"/>
  <c r="K11" i="57" s="1"/>
  <c r="J22" i="57"/>
  <c r="G22" i="57"/>
  <c r="K22" i="57" s="1"/>
  <c r="J19" i="57"/>
  <c r="G19" i="57"/>
  <c r="K19" i="57" s="1"/>
  <c r="J24" i="57"/>
  <c r="G24" i="57"/>
  <c r="K24" i="57" s="1"/>
  <c r="J20" i="57"/>
  <c r="G20" i="57"/>
  <c r="K20" i="57" s="1"/>
  <c r="J13" i="57"/>
  <c r="G13" i="57"/>
  <c r="K13" i="57" s="1"/>
  <c r="J26" i="57"/>
  <c r="G26" i="57"/>
  <c r="K26" i="57" s="1"/>
  <c r="J12" i="57"/>
  <c r="G12" i="57"/>
  <c r="K12" i="57" s="1"/>
  <c r="J15" i="57"/>
  <c r="G15" i="57"/>
  <c r="K15" i="57" s="1"/>
  <c r="J36" i="57"/>
  <c r="G36" i="57"/>
  <c r="K36" i="57" s="1"/>
  <c r="J30" i="57"/>
  <c r="G30" i="57"/>
  <c r="K30" i="57" s="1"/>
  <c r="J16" i="57"/>
  <c r="G16" i="57"/>
  <c r="K16" i="57" s="1"/>
  <c r="J14" i="57"/>
  <c r="G14" i="57"/>
  <c r="K14" i="57" s="1"/>
  <c r="J8" i="68" l="1"/>
  <c r="G8" i="68"/>
  <c r="J8" i="67"/>
  <c r="G8" i="67"/>
  <c r="K8" i="68" l="1"/>
  <c r="K8" i="67"/>
  <c r="J8" i="57"/>
  <c r="G8" i="57"/>
  <c r="K8" i="57" l="1"/>
</calcChain>
</file>

<file path=xl/sharedStrings.xml><?xml version="1.0" encoding="utf-8"?>
<sst xmlns="http://schemas.openxmlformats.org/spreadsheetml/2006/main" count="144" uniqueCount="105">
  <si>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</si>
  <si>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</si>
  <si>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</si>
  <si>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</si>
  <si>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</si>
  <si>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</si>
  <si>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</si>
  <si>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</si>
  <si>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</si>
  <si>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</si>
  <si>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</si>
  <si>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</si>
  <si>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</si>
  <si>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</si>
  <si>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</si>
  <si>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QUIMICA INDUSTRIAL</t>
  </si>
  <si>
    <t>TURNO TARDE CURSO: 1ro. SECCION: 2da.</t>
  </si>
  <si>
    <t>TURNO MAÑANA 1er. Curso 1ra. Seccion.</t>
  </si>
  <si>
    <t>TURNO TARDE CURSO: 1ro. SECCION: 3ra.</t>
  </si>
  <si>
    <t>LISTA DEFINITIVA- COLEGIO TECNICO NACIONAL DE LA CAPITAL / 2021</t>
  </si>
  <si>
    <t>BENITEZ VERA JAZMIN ELIZABETH</t>
  </si>
  <si>
    <t>CACERES PINTOS TOBIAS RUBEN</t>
  </si>
  <si>
    <t>RIQUIELME ALARCON JESSICA</t>
  </si>
  <si>
    <t>WONG KIM SIN WEI SERENA</t>
  </si>
  <si>
    <t>BORJA ZARZA MARCO SANTINO</t>
  </si>
  <si>
    <t>ARCE TORALES SAMIRA ANAHI</t>
  </si>
  <si>
    <t>LEGUIZAMON ORUE MARIA CECILIA</t>
  </si>
  <si>
    <t>BARRIOS CAÑETE ANGEL DAVID</t>
  </si>
  <si>
    <t>GERKE ZAMPHIROPOLOS ASTRID ESTER</t>
  </si>
  <si>
    <t>KIM KIM NISSI JOO HA</t>
  </si>
  <si>
    <t>GENEZ CHAMORRO MALENA LUJAN</t>
  </si>
  <si>
    <t>GOSSEN MACHUCA GONZALO YAUED</t>
  </si>
  <si>
    <t>ALVARENGA RIVEROS ALVARO EZEQUIEL</t>
  </si>
  <si>
    <t>MOREL DA SILVA SARA NOEMI</t>
  </si>
  <si>
    <t>GOMEZ LAGUARDIA MARIA FERNANDA</t>
  </si>
  <si>
    <t>WESELUK OVELAR KATHERINE GIOVANNA</t>
  </si>
  <si>
    <t>ALFONSO PINTOS ALDANA LUJAN</t>
  </si>
  <si>
    <t>MORALES ZALAZAR MIA VIOLETA</t>
  </si>
  <si>
    <t>SANCHEZ MARTINEZ REBECCA AYLEN</t>
  </si>
  <si>
    <t>ALFONSO DOMINGUEZ MERYN SOFIA</t>
  </si>
  <si>
    <t>GALEANO RODRIGUEZ XIMENA MAGALHI</t>
  </si>
  <si>
    <t>FIGUEREDO PAREDES TIAGO JOSUE</t>
  </si>
  <si>
    <t>GUILLEN GOMEZ JESUS SEBASTIAN</t>
  </si>
  <si>
    <t>MEZA GONZALEZ MIA PALOMA</t>
  </si>
  <si>
    <t>ROJAS DURE ARELLYS DEL SOL</t>
  </si>
  <si>
    <t>SANDOVAL RUIZ SANTIAGO NICOLAS</t>
  </si>
  <si>
    <t>SANCHEZ PASTOR CAMILA ABIGAIL</t>
  </si>
  <si>
    <t>LANGE ORTIZ MATIAS EMMANUEL</t>
  </si>
  <si>
    <t>GONZALEZ CAÑETE AMBAR NAGELY</t>
  </si>
  <si>
    <t>BASABE OZORIO LUCAS HAZAEL</t>
  </si>
  <si>
    <t>MELGAREJO RECALDE MARIA XIMENA</t>
  </si>
  <si>
    <t>RAMOS GIMENEZ ARACELI ELIZABETH</t>
  </si>
  <si>
    <t>PAREDES GONZALEZ FERNANDO ADRIAN</t>
  </si>
  <si>
    <t>CUBA PAREDES ARACELI ABIGAIL</t>
  </si>
  <si>
    <t>ESCOBAR DUARTE LAURA JAZMIN</t>
  </si>
  <si>
    <t>MAIDANA LOPEZLARIZZA BEATRIZ</t>
  </si>
  <si>
    <t>AHRENS CANO JUAN SEBASTIAN</t>
  </si>
  <si>
    <t>MACHADO LEDESMA ANTONELLA BELEN</t>
  </si>
  <si>
    <t>JARA PALACIOS FATIMA ANALIA</t>
  </si>
  <si>
    <t>PALACIOS AQUINO BELINDA NICOLLE</t>
  </si>
  <si>
    <t>VERA PEREIRA JAZMIN MONSERRATH</t>
  </si>
  <si>
    <t>AQUINO VALIENTE MARIA ALEJANDRA</t>
  </si>
  <si>
    <t>MARTINEZ ORTIGOZA ALEJANDRO JAVIER</t>
  </si>
  <si>
    <t xml:space="preserve">ROJAS IBARRA WILLIAN ANDRES </t>
  </si>
  <si>
    <t>BALBUENA RODRIGUEZ MATIAS NAHUEL</t>
  </si>
  <si>
    <t xml:space="preserve">GONZALEZ IBAÑEZ GABRIELA LUJAN </t>
  </si>
  <si>
    <t>VILLAGRA AGÜERO DENIS GABRIEL</t>
  </si>
  <si>
    <t>ACEVEDO PEREIRA JUAN MANUEL</t>
  </si>
  <si>
    <t>CABRAL GAUTO GABRIELA YERUTI</t>
  </si>
  <si>
    <t>GONZALEZ TOLEDO BETANIA PATRICIA</t>
  </si>
  <si>
    <t>MENDOZA TROCHE CELESTE ANAHI</t>
  </si>
  <si>
    <t>CABRERA SILVA GERMAN JOSUE</t>
  </si>
  <si>
    <t>REYNOLDS VERA ABIGAIL</t>
  </si>
  <si>
    <t>ACHON CUETO ANDREA MAGALI</t>
  </si>
  <si>
    <t>HERMOSA ARANGUREN BIANCA MARIA</t>
  </si>
  <si>
    <t>SAMUDIO BOGADO SOFIA BELEN</t>
  </si>
  <si>
    <t>DONOVAN BENITEZ HELEN ABIGAIL</t>
  </si>
  <si>
    <t>OCAMPOS ARRUA DANNA MICHELLE</t>
  </si>
  <si>
    <t>BENITEZ ARRUA JESSICA CARINA</t>
  </si>
  <si>
    <t>ZAPATTINI DUARTE MELIANE MONSERRAT</t>
  </si>
  <si>
    <t>CUEVAS ROLON SOFIA JAZMIN</t>
  </si>
  <si>
    <t>OVELAR CENTURION MARIA PAZ</t>
  </si>
  <si>
    <t>GODOY LEGUIZAMON FEBE NAARA</t>
  </si>
  <si>
    <t>CABALLERO TELLEZ DALEYMA YANIRA</t>
  </si>
  <si>
    <t>LOPEZ ALMADA ISAIAS SEBASTIAN</t>
  </si>
  <si>
    <t>DIAZ PEREZ MAXIMILIANO HUGO ALEJANDRO</t>
  </si>
  <si>
    <t>ZARATE GALEANO ZULMA DALILA</t>
  </si>
  <si>
    <t>FLOR DO NASCIMIENTO OLIVER EMANUEL</t>
  </si>
  <si>
    <t>VALLEJOS BERNAL BIANCA MAGALI</t>
  </si>
  <si>
    <t>FLEITAS AQUINO LETIZIA MONSERRATH</t>
  </si>
  <si>
    <t>GIMENEZ GAVILAN ROSARIO MAGALI</t>
  </si>
  <si>
    <t>VELAZQUEZ ORIHUELA JAZMIN MAGALI</t>
  </si>
  <si>
    <t>TORRES GARRIDO  ERIKA YAMILA</t>
  </si>
  <si>
    <t>ALVARENGA MORINIGO ALEJANDRA MONTSERRAT</t>
  </si>
  <si>
    <t>VILLAMAYOR ANTUNEZ SOL MAYR</t>
  </si>
  <si>
    <t>RUIZ SCHAPT DIEGO FABRIZIO</t>
  </si>
  <si>
    <t>LOPEZ STOCKEL YANINA MONSERRAT</t>
  </si>
  <si>
    <t>BENITEZ GAONA LUANA GABRIELA</t>
  </si>
  <si>
    <t>BLANCO MENDOZA CECILIA ABIGAIL</t>
  </si>
  <si>
    <t>DUARTE GONZALEZ HELENA JUDITH</t>
  </si>
  <si>
    <t>PAREDES LOPEZ HUMBERTO IVAN</t>
  </si>
  <si>
    <t>HAG AHMAD ZALAZAR DANNA SAMIRA</t>
  </si>
  <si>
    <t>HERMOSILLA BENITEZ CESAR GABRIEL</t>
  </si>
  <si>
    <t>ORTIZ CENA SEBASTIAN TOBIAS</t>
  </si>
  <si>
    <t>MINISTERIO DE EDUCACION Y 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</si>
</sst>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10"/>
      <color theme="1"/>
      <name val="Arial"/>
      <family val="2"/>
    </font>
    <font>
      <sz val="10"/>
      <color theme="1"/>
      <name val="Arial  "/>
    </font>
    <font>
      <sz val="10"/>
      <name val="Arial"/>
      <family val="2"/>
    </font>
    <font>
      <sz val="10"/>
      <name val="Calibri"/>
      <family val="2"/>
    </font>
    <font>
      <sz val="9"/>
      <color theme="1"/>
      <name val="Arial"/>
      <family val="2"/>
    </font>
    <font>
      <sz val="9"/>
      <color theme="1"/>
      <name val="Arial  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 vertical="center"/>
    </xf>
    <xf numFmtId="2" fontId="13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3" fontId="12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3" fontId="12" fillId="0" borderId="1" xfId="0" applyNumberFormat="1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3" fillId="0" borderId="1" xfId="1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S20" sqref="S20"/>
    </sheetView>
  </sheetViews>
  <sheetFormatPr baseColWidth="10" defaultRowHeight="15"/>
  <cols>
    <col min="1" max="1" width="4.85546875" bestFit="1" customWidth="1"/>
    <col min="2" max="2" width="47.28515625" customWidth="1"/>
    <col min="3" max="3" width="9.7109375" customWidth="1"/>
    <col min="4" max="6" width="5.7109375" customWidth="1"/>
    <col min="7" max="11" width="6.7109375" customWidth="1"/>
  </cols>
  <sheetData>
    <row r="1" spans="1:11">
      <c r="A1" s="27" t="s">
        <v>104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>
      <c r="A4" s="27" t="s">
        <v>19</v>
      </c>
      <c r="B4" s="27"/>
      <c r="C4" s="27"/>
      <c r="D4" s="27"/>
      <c r="E4" s="27"/>
      <c r="F4" s="27"/>
      <c r="G4" s="27"/>
      <c r="H4" s="27"/>
      <c r="I4" s="27"/>
      <c r="J4" s="27"/>
      <c r="K4" s="27"/>
    </row>
    <row r="5" spans="1:11" ht="15.75">
      <c r="A5" s="29" t="s">
        <v>17</v>
      </c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1" ht="35.1" customHeight="1">
      <c r="A6" s="30" t="s">
        <v>2</v>
      </c>
      <c r="B6" s="30" t="s">
        <v>3</v>
      </c>
      <c r="C6" s="31" t="s">
        <v>4</v>
      </c>
      <c r="D6" s="32" t="s">
        <v>5</v>
      </c>
      <c r="E6" s="32"/>
      <c r="F6" s="32"/>
      <c r="G6" s="22" t="s">
        <v>6</v>
      </c>
      <c r="H6" s="1" t="s">
        <v>7</v>
      </c>
      <c r="I6" s="1" t="s">
        <v>7</v>
      </c>
      <c r="J6" s="22" t="s">
        <v>8</v>
      </c>
      <c r="K6" s="22" t="s">
        <v>9</v>
      </c>
    </row>
    <row r="7" spans="1:11" ht="30" customHeight="1">
      <c r="A7" s="30"/>
      <c r="B7" s="30"/>
      <c r="C7" s="31"/>
      <c r="D7" s="7" t="s">
        <v>10</v>
      </c>
      <c r="E7" s="7" t="s">
        <v>11</v>
      </c>
      <c r="F7" s="7" t="s">
        <v>12</v>
      </c>
      <c r="G7" s="23"/>
      <c r="H7" s="6" t="s">
        <v>13</v>
      </c>
      <c r="I7" s="6" t="s">
        <v>14</v>
      </c>
      <c r="J7" s="23"/>
      <c r="K7" s="23"/>
    </row>
    <row r="8" spans="1:11">
      <c r="A8" s="24" t="s">
        <v>15</v>
      </c>
      <c r="B8" s="25"/>
      <c r="C8" s="26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5" customFormat="1" ht="23.1" customHeight="1">
      <c r="A9" s="13">
        <v>1</v>
      </c>
      <c r="B9" s="8" t="s">
        <v>39</v>
      </c>
      <c r="C9" s="9">
        <v>5871035</v>
      </c>
      <c r="D9" s="10">
        <v>15</v>
      </c>
      <c r="E9" s="10">
        <v>15</v>
      </c>
      <c r="F9" s="10">
        <v>15</v>
      </c>
      <c r="G9" s="11">
        <f t="shared" ref="G9:G36" si="2">SUM(D9:F9)*100/45*0.4</f>
        <v>40</v>
      </c>
      <c r="H9" s="11">
        <v>18</v>
      </c>
      <c r="I9" s="11">
        <v>21</v>
      </c>
      <c r="J9" s="11">
        <f t="shared" ref="J9:J36" si="3">SUM(H9:I9)</f>
        <v>39</v>
      </c>
      <c r="K9" s="11">
        <f t="shared" ref="K9:K36" si="4">G9+J9</f>
        <v>79</v>
      </c>
    </row>
    <row r="10" spans="1:11" s="5" customFormat="1" ht="23.1" customHeight="1">
      <c r="A10" s="13">
        <v>2</v>
      </c>
      <c r="B10" s="8" t="s">
        <v>36</v>
      </c>
      <c r="C10" s="9">
        <v>5689806</v>
      </c>
      <c r="D10" s="10">
        <v>14</v>
      </c>
      <c r="E10" s="10">
        <v>15</v>
      </c>
      <c r="F10" s="10">
        <v>15</v>
      </c>
      <c r="G10" s="11">
        <f t="shared" si="2"/>
        <v>39.111111111111114</v>
      </c>
      <c r="H10" s="11">
        <v>14</v>
      </c>
      <c r="I10" s="11">
        <v>26</v>
      </c>
      <c r="J10" s="11">
        <f t="shared" si="3"/>
        <v>40</v>
      </c>
      <c r="K10" s="11">
        <f t="shared" si="4"/>
        <v>79.111111111111114</v>
      </c>
    </row>
    <row r="11" spans="1:11" s="5" customFormat="1" ht="23.1" customHeight="1">
      <c r="A11" s="13">
        <v>3</v>
      </c>
      <c r="B11" s="8" t="s">
        <v>32</v>
      </c>
      <c r="C11" s="9">
        <v>7888480</v>
      </c>
      <c r="D11" s="10">
        <v>15</v>
      </c>
      <c r="E11" s="10">
        <v>13</v>
      </c>
      <c r="F11" s="10">
        <v>15</v>
      </c>
      <c r="G11" s="11">
        <f t="shared" si="2"/>
        <v>38.222222222222221</v>
      </c>
      <c r="H11" s="11">
        <v>17</v>
      </c>
      <c r="I11" s="11">
        <v>25</v>
      </c>
      <c r="J11" s="11">
        <f t="shared" si="3"/>
        <v>42</v>
      </c>
      <c r="K11" s="11">
        <f t="shared" si="4"/>
        <v>80.222222222222229</v>
      </c>
    </row>
    <row r="12" spans="1:11" s="5" customFormat="1" ht="23.1" customHeight="1">
      <c r="A12" s="13">
        <v>4</v>
      </c>
      <c r="B12" s="8" t="s">
        <v>25</v>
      </c>
      <c r="C12" s="9">
        <v>5577104</v>
      </c>
      <c r="D12" s="10">
        <v>15</v>
      </c>
      <c r="E12" s="10">
        <v>15</v>
      </c>
      <c r="F12" s="10">
        <v>15</v>
      </c>
      <c r="G12" s="11">
        <f t="shared" si="2"/>
        <v>40</v>
      </c>
      <c r="H12" s="11">
        <v>20</v>
      </c>
      <c r="I12" s="11">
        <v>24</v>
      </c>
      <c r="J12" s="11">
        <f t="shared" si="3"/>
        <v>44</v>
      </c>
      <c r="K12" s="11">
        <f t="shared" si="4"/>
        <v>84</v>
      </c>
    </row>
    <row r="13" spans="1:11" s="5" customFormat="1" ht="23.1" customHeight="1">
      <c r="A13" s="13">
        <v>5</v>
      </c>
      <c r="B13" s="8" t="s">
        <v>27</v>
      </c>
      <c r="C13" s="9">
        <v>6054281</v>
      </c>
      <c r="D13" s="10">
        <v>14</v>
      </c>
      <c r="E13" s="10">
        <v>15</v>
      </c>
      <c r="F13" s="10">
        <v>15</v>
      </c>
      <c r="G13" s="11">
        <f t="shared" si="2"/>
        <v>39.111111111111114</v>
      </c>
      <c r="H13" s="11">
        <v>17</v>
      </c>
      <c r="I13" s="11">
        <v>25</v>
      </c>
      <c r="J13" s="11">
        <f t="shared" si="3"/>
        <v>42</v>
      </c>
      <c r="K13" s="11">
        <f t="shared" si="4"/>
        <v>81.111111111111114</v>
      </c>
    </row>
    <row r="14" spans="1:11" s="5" customFormat="1" ht="23.1" customHeight="1">
      <c r="A14" s="13">
        <v>6</v>
      </c>
      <c r="B14" s="8" t="s">
        <v>20</v>
      </c>
      <c r="C14" s="9">
        <v>6357950</v>
      </c>
      <c r="D14" s="10">
        <v>15</v>
      </c>
      <c r="E14" s="10">
        <v>15</v>
      </c>
      <c r="F14" s="10">
        <v>15</v>
      </c>
      <c r="G14" s="11">
        <f t="shared" si="2"/>
        <v>40</v>
      </c>
      <c r="H14" s="11">
        <v>27</v>
      </c>
      <c r="I14" s="11">
        <v>26</v>
      </c>
      <c r="J14" s="11">
        <f t="shared" si="3"/>
        <v>53</v>
      </c>
      <c r="K14" s="11">
        <f t="shared" si="4"/>
        <v>93</v>
      </c>
    </row>
    <row r="15" spans="1:11" s="5" customFormat="1" ht="23.1" customHeight="1">
      <c r="A15" s="13">
        <v>7</v>
      </c>
      <c r="B15" s="8" t="s">
        <v>24</v>
      </c>
      <c r="C15" s="9">
        <v>5707790</v>
      </c>
      <c r="D15" s="10">
        <v>15</v>
      </c>
      <c r="E15" s="10">
        <v>15</v>
      </c>
      <c r="F15" s="10">
        <v>14</v>
      </c>
      <c r="G15" s="11">
        <f t="shared" si="2"/>
        <v>39.111111111111114</v>
      </c>
      <c r="H15" s="11">
        <v>19</v>
      </c>
      <c r="I15" s="11">
        <v>27</v>
      </c>
      <c r="J15" s="11">
        <f t="shared" si="3"/>
        <v>46</v>
      </c>
      <c r="K15" s="11">
        <f t="shared" si="4"/>
        <v>85.111111111111114</v>
      </c>
    </row>
    <row r="16" spans="1:11" s="5" customFormat="1" ht="23.1" customHeight="1">
      <c r="A16" s="13">
        <v>8</v>
      </c>
      <c r="B16" s="8" t="s">
        <v>21</v>
      </c>
      <c r="C16" s="9">
        <v>5447297</v>
      </c>
      <c r="D16" s="10">
        <v>15</v>
      </c>
      <c r="E16" s="10">
        <v>15</v>
      </c>
      <c r="F16" s="10">
        <v>14</v>
      </c>
      <c r="G16" s="11">
        <f t="shared" si="2"/>
        <v>39.111111111111114</v>
      </c>
      <c r="H16" s="11">
        <v>22</v>
      </c>
      <c r="I16" s="11">
        <v>26</v>
      </c>
      <c r="J16" s="11">
        <f t="shared" si="3"/>
        <v>48</v>
      </c>
      <c r="K16" s="11">
        <f t="shared" si="4"/>
        <v>87.111111111111114</v>
      </c>
    </row>
    <row r="17" spans="1:11" s="5" customFormat="1" ht="23.1" customHeight="1">
      <c r="A17" s="13">
        <v>9</v>
      </c>
      <c r="B17" s="8" t="s">
        <v>41</v>
      </c>
      <c r="C17" s="9">
        <v>5527975</v>
      </c>
      <c r="D17" s="10">
        <v>15</v>
      </c>
      <c r="E17" s="10">
        <v>15</v>
      </c>
      <c r="F17" s="10">
        <v>15</v>
      </c>
      <c r="G17" s="11">
        <f t="shared" si="2"/>
        <v>40</v>
      </c>
      <c r="H17" s="11">
        <v>18</v>
      </c>
      <c r="I17" s="11">
        <v>21</v>
      </c>
      <c r="J17" s="11">
        <f t="shared" si="3"/>
        <v>39</v>
      </c>
      <c r="K17" s="11">
        <f t="shared" si="4"/>
        <v>79</v>
      </c>
    </row>
    <row r="18" spans="1:11" s="5" customFormat="1" ht="23.1" customHeight="1">
      <c r="A18" s="13">
        <v>10</v>
      </c>
      <c r="B18" s="8" t="s">
        <v>40</v>
      </c>
      <c r="C18" s="9">
        <v>5770286</v>
      </c>
      <c r="D18" s="10">
        <v>15</v>
      </c>
      <c r="E18" s="10">
        <v>15</v>
      </c>
      <c r="F18" s="10">
        <v>15</v>
      </c>
      <c r="G18" s="11">
        <f t="shared" si="2"/>
        <v>40</v>
      </c>
      <c r="H18" s="11">
        <v>15</v>
      </c>
      <c r="I18" s="11">
        <v>24</v>
      </c>
      <c r="J18" s="11">
        <f t="shared" si="3"/>
        <v>39</v>
      </c>
      <c r="K18" s="11">
        <f t="shared" si="4"/>
        <v>79</v>
      </c>
    </row>
    <row r="19" spans="1:11" s="5" customFormat="1" ht="23.1" customHeight="1">
      <c r="A19" s="13">
        <v>11</v>
      </c>
      <c r="B19" s="8" t="s">
        <v>30</v>
      </c>
      <c r="C19" s="9">
        <v>6270677</v>
      </c>
      <c r="D19" s="10">
        <v>15</v>
      </c>
      <c r="E19" s="10">
        <v>13</v>
      </c>
      <c r="F19" s="10">
        <v>14</v>
      </c>
      <c r="G19" s="11">
        <f t="shared" si="2"/>
        <v>37.333333333333336</v>
      </c>
      <c r="H19" s="11">
        <v>17</v>
      </c>
      <c r="I19" s="11">
        <v>26</v>
      </c>
      <c r="J19" s="11">
        <f t="shared" si="3"/>
        <v>43</v>
      </c>
      <c r="K19" s="11">
        <f t="shared" si="4"/>
        <v>80.333333333333343</v>
      </c>
    </row>
    <row r="20" spans="1:11" s="5" customFormat="1" ht="23.1" customHeight="1">
      <c r="A20" s="13">
        <v>12</v>
      </c>
      <c r="B20" s="8" t="s">
        <v>28</v>
      </c>
      <c r="C20" s="9">
        <v>5650906</v>
      </c>
      <c r="D20" s="10">
        <v>15</v>
      </c>
      <c r="E20" s="10">
        <v>14</v>
      </c>
      <c r="F20" s="10">
        <v>15</v>
      </c>
      <c r="G20" s="11">
        <f t="shared" si="2"/>
        <v>39.111111111111114</v>
      </c>
      <c r="H20" s="11">
        <v>20</v>
      </c>
      <c r="I20" s="11">
        <v>22</v>
      </c>
      <c r="J20" s="11">
        <f t="shared" si="3"/>
        <v>42</v>
      </c>
      <c r="K20" s="11">
        <f t="shared" si="4"/>
        <v>81.111111111111114</v>
      </c>
    </row>
    <row r="21" spans="1:11" s="5" customFormat="1" ht="23.1" customHeight="1">
      <c r="A21" s="13">
        <v>13</v>
      </c>
      <c r="B21" s="8" t="s">
        <v>34</v>
      </c>
      <c r="C21" s="9">
        <v>6770902</v>
      </c>
      <c r="D21" s="10">
        <v>15</v>
      </c>
      <c r="E21" s="10">
        <v>15</v>
      </c>
      <c r="F21" s="10">
        <v>15</v>
      </c>
      <c r="G21" s="11">
        <f t="shared" si="2"/>
        <v>40</v>
      </c>
      <c r="H21" s="11">
        <v>16</v>
      </c>
      <c r="I21" s="11">
        <v>24</v>
      </c>
      <c r="J21" s="11">
        <f t="shared" si="3"/>
        <v>40</v>
      </c>
      <c r="K21" s="11">
        <f t="shared" si="4"/>
        <v>80</v>
      </c>
    </row>
    <row r="22" spans="1:11" s="5" customFormat="1" ht="23.1" customHeight="1">
      <c r="A22" s="13">
        <v>14</v>
      </c>
      <c r="B22" s="8" t="s">
        <v>31</v>
      </c>
      <c r="C22" s="9">
        <v>7166269</v>
      </c>
      <c r="D22" s="10">
        <v>14</v>
      </c>
      <c r="E22" s="10">
        <v>13</v>
      </c>
      <c r="F22" s="10">
        <v>15</v>
      </c>
      <c r="G22" s="11">
        <f t="shared" si="2"/>
        <v>37.333333333333336</v>
      </c>
      <c r="H22" s="11">
        <v>23</v>
      </c>
      <c r="I22" s="11">
        <v>20</v>
      </c>
      <c r="J22" s="11">
        <f t="shared" si="3"/>
        <v>43</v>
      </c>
      <c r="K22" s="11">
        <f t="shared" si="4"/>
        <v>80.333333333333343</v>
      </c>
    </row>
    <row r="23" spans="1:11" s="5" customFormat="1" ht="23.1" customHeight="1">
      <c r="A23" s="13">
        <v>15</v>
      </c>
      <c r="B23" s="8" t="s">
        <v>42</v>
      </c>
      <c r="C23" s="9">
        <v>6534200</v>
      </c>
      <c r="D23" s="10">
        <v>13</v>
      </c>
      <c r="E23" s="10">
        <v>13</v>
      </c>
      <c r="F23" s="10">
        <v>15</v>
      </c>
      <c r="G23" s="11">
        <f t="shared" si="2"/>
        <v>36.44444444444445</v>
      </c>
      <c r="H23" s="11">
        <v>22</v>
      </c>
      <c r="I23" s="11">
        <v>20</v>
      </c>
      <c r="J23" s="11">
        <f t="shared" si="3"/>
        <v>42</v>
      </c>
      <c r="K23" s="11">
        <f t="shared" si="4"/>
        <v>78.444444444444457</v>
      </c>
    </row>
    <row r="24" spans="1:11" s="5" customFormat="1" ht="23.1" customHeight="1">
      <c r="A24" s="13">
        <v>16</v>
      </c>
      <c r="B24" s="8" t="s">
        <v>29</v>
      </c>
      <c r="C24" s="9">
        <v>5593058</v>
      </c>
      <c r="D24" s="10">
        <v>15</v>
      </c>
      <c r="E24" s="10">
        <v>14</v>
      </c>
      <c r="F24" s="10">
        <v>15</v>
      </c>
      <c r="G24" s="11">
        <f t="shared" si="2"/>
        <v>39.111111111111114</v>
      </c>
      <c r="H24" s="11">
        <v>22</v>
      </c>
      <c r="I24" s="11">
        <v>20</v>
      </c>
      <c r="J24" s="11">
        <f t="shared" si="3"/>
        <v>42</v>
      </c>
      <c r="K24" s="11">
        <f t="shared" si="4"/>
        <v>81.111111111111114</v>
      </c>
    </row>
    <row r="25" spans="1:11" s="5" customFormat="1" ht="23.1" customHeight="1">
      <c r="A25" s="13">
        <v>17</v>
      </c>
      <c r="B25" s="8" t="s">
        <v>47</v>
      </c>
      <c r="C25" s="9">
        <v>5874579</v>
      </c>
      <c r="D25" s="10">
        <v>10</v>
      </c>
      <c r="E25" s="10">
        <v>14</v>
      </c>
      <c r="F25" s="10">
        <v>14</v>
      </c>
      <c r="G25" s="11">
        <f t="shared" si="2"/>
        <v>33.777777777777779</v>
      </c>
      <c r="H25" s="11">
        <v>20</v>
      </c>
      <c r="I25" s="11">
        <v>24</v>
      </c>
      <c r="J25" s="11">
        <f t="shared" si="3"/>
        <v>44</v>
      </c>
      <c r="K25" s="11">
        <f t="shared" si="4"/>
        <v>77.777777777777771</v>
      </c>
    </row>
    <row r="26" spans="1:11" s="5" customFormat="1" ht="23.1" customHeight="1">
      <c r="A26" s="13">
        <v>18</v>
      </c>
      <c r="B26" s="8" t="s">
        <v>26</v>
      </c>
      <c r="C26" s="9">
        <v>6246089</v>
      </c>
      <c r="D26" s="10">
        <v>15</v>
      </c>
      <c r="E26" s="10">
        <v>15</v>
      </c>
      <c r="F26" s="10">
        <v>15</v>
      </c>
      <c r="G26" s="11">
        <f t="shared" si="2"/>
        <v>40</v>
      </c>
      <c r="H26" s="11">
        <v>22</v>
      </c>
      <c r="I26" s="11">
        <v>21</v>
      </c>
      <c r="J26" s="11">
        <f t="shared" si="3"/>
        <v>43</v>
      </c>
      <c r="K26" s="11">
        <f t="shared" si="4"/>
        <v>83</v>
      </c>
    </row>
    <row r="27" spans="1:11" s="5" customFormat="1" ht="23.1" customHeight="1">
      <c r="A27" s="13">
        <v>19</v>
      </c>
      <c r="B27" s="8" t="s">
        <v>43</v>
      </c>
      <c r="C27" s="9">
        <v>6378756</v>
      </c>
      <c r="D27" s="10">
        <v>15</v>
      </c>
      <c r="E27" s="10">
        <v>14</v>
      </c>
      <c r="F27" s="10">
        <v>15</v>
      </c>
      <c r="G27" s="11">
        <f t="shared" si="2"/>
        <v>39.111111111111114</v>
      </c>
      <c r="H27" s="11">
        <v>16</v>
      </c>
      <c r="I27" s="11">
        <v>23</v>
      </c>
      <c r="J27" s="11">
        <f t="shared" si="3"/>
        <v>39</v>
      </c>
      <c r="K27" s="11">
        <f t="shared" si="4"/>
        <v>78.111111111111114</v>
      </c>
    </row>
    <row r="28" spans="1:11" s="5" customFormat="1" ht="23.1" customHeight="1">
      <c r="A28" s="13">
        <v>20</v>
      </c>
      <c r="B28" s="8" t="s">
        <v>37</v>
      </c>
      <c r="C28" s="9">
        <v>5707100</v>
      </c>
      <c r="D28" s="10">
        <v>14</v>
      </c>
      <c r="E28" s="10">
        <v>15</v>
      </c>
      <c r="F28" s="10">
        <v>15</v>
      </c>
      <c r="G28" s="11">
        <f t="shared" si="2"/>
        <v>39.111111111111114</v>
      </c>
      <c r="H28" s="11">
        <v>17</v>
      </c>
      <c r="I28" s="11">
        <v>23</v>
      </c>
      <c r="J28" s="11">
        <f t="shared" si="3"/>
        <v>40</v>
      </c>
      <c r="K28" s="11">
        <f t="shared" si="4"/>
        <v>79.111111111111114</v>
      </c>
    </row>
    <row r="29" spans="1:11" s="5" customFormat="1" ht="23.1" customHeight="1">
      <c r="A29" s="13">
        <v>21</v>
      </c>
      <c r="B29" s="8" t="s">
        <v>33</v>
      </c>
      <c r="C29" s="9">
        <v>5710645</v>
      </c>
      <c r="D29" s="10">
        <v>14</v>
      </c>
      <c r="E29" s="10">
        <v>14</v>
      </c>
      <c r="F29" s="10">
        <v>15</v>
      </c>
      <c r="G29" s="11">
        <f t="shared" si="2"/>
        <v>38.222222222222221</v>
      </c>
      <c r="H29" s="11">
        <v>21</v>
      </c>
      <c r="I29" s="11">
        <v>21</v>
      </c>
      <c r="J29" s="11">
        <f t="shared" si="3"/>
        <v>42</v>
      </c>
      <c r="K29" s="11">
        <f t="shared" si="4"/>
        <v>80.222222222222229</v>
      </c>
    </row>
    <row r="30" spans="1:11" s="5" customFormat="1" ht="23.1" customHeight="1">
      <c r="A30" s="13">
        <v>22</v>
      </c>
      <c r="B30" s="8" t="s">
        <v>22</v>
      </c>
      <c r="C30" s="9">
        <v>5710323</v>
      </c>
      <c r="D30" s="10">
        <v>15</v>
      </c>
      <c r="E30" s="10">
        <v>15</v>
      </c>
      <c r="F30" s="10">
        <v>15</v>
      </c>
      <c r="G30" s="11">
        <f t="shared" si="2"/>
        <v>40</v>
      </c>
      <c r="H30" s="11">
        <v>19</v>
      </c>
      <c r="I30" s="11">
        <v>27</v>
      </c>
      <c r="J30" s="11">
        <f t="shared" si="3"/>
        <v>46</v>
      </c>
      <c r="K30" s="11">
        <f t="shared" si="4"/>
        <v>86</v>
      </c>
    </row>
    <row r="31" spans="1:11" s="5" customFormat="1" ht="23.1" customHeight="1">
      <c r="A31" s="13">
        <v>23</v>
      </c>
      <c r="B31" s="8" t="s">
        <v>44</v>
      </c>
      <c r="C31" s="9">
        <v>6657458</v>
      </c>
      <c r="D31" s="10">
        <v>15</v>
      </c>
      <c r="E31" s="10">
        <v>15</v>
      </c>
      <c r="F31" s="10">
        <v>15</v>
      </c>
      <c r="G31" s="11">
        <f t="shared" si="2"/>
        <v>40</v>
      </c>
      <c r="H31" s="11">
        <v>14</v>
      </c>
      <c r="I31" s="11">
        <v>24</v>
      </c>
      <c r="J31" s="11">
        <f t="shared" si="3"/>
        <v>38</v>
      </c>
      <c r="K31" s="11">
        <f t="shared" si="4"/>
        <v>78</v>
      </c>
    </row>
    <row r="32" spans="1:11" s="5" customFormat="1" ht="23.1" customHeight="1">
      <c r="A32" s="13">
        <v>24</v>
      </c>
      <c r="B32" s="8" t="s">
        <v>38</v>
      </c>
      <c r="C32" s="9">
        <v>5679000</v>
      </c>
      <c r="D32" s="10">
        <v>14</v>
      </c>
      <c r="E32" s="10">
        <v>15</v>
      </c>
      <c r="F32" s="10">
        <v>15</v>
      </c>
      <c r="G32" s="11">
        <f t="shared" si="2"/>
        <v>39.111111111111114</v>
      </c>
      <c r="H32" s="11">
        <v>16</v>
      </c>
      <c r="I32" s="11">
        <v>24</v>
      </c>
      <c r="J32" s="11">
        <f t="shared" si="3"/>
        <v>40</v>
      </c>
      <c r="K32" s="11">
        <f t="shared" si="4"/>
        <v>79.111111111111114</v>
      </c>
    </row>
    <row r="33" spans="1:11" s="5" customFormat="1" ht="23.1" customHeight="1">
      <c r="A33" s="13">
        <v>25</v>
      </c>
      <c r="B33" s="8" t="s">
        <v>46</v>
      </c>
      <c r="C33" s="9">
        <v>7096862</v>
      </c>
      <c r="D33" s="10">
        <v>15</v>
      </c>
      <c r="E33" s="10">
        <v>15</v>
      </c>
      <c r="F33" s="10">
        <v>15</v>
      </c>
      <c r="G33" s="11">
        <f t="shared" si="2"/>
        <v>40</v>
      </c>
      <c r="H33" s="11">
        <v>17</v>
      </c>
      <c r="I33" s="11">
        <v>21</v>
      </c>
      <c r="J33" s="11">
        <f t="shared" si="3"/>
        <v>38</v>
      </c>
      <c r="K33" s="11">
        <f t="shared" si="4"/>
        <v>78</v>
      </c>
    </row>
    <row r="34" spans="1:11" s="5" customFormat="1" ht="23.1" customHeight="1">
      <c r="A34" s="13">
        <v>26</v>
      </c>
      <c r="B34" s="8" t="s">
        <v>45</v>
      </c>
      <c r="C34" s="9">
        <v>5626765</v>
      </c>
      <c r="D34" s="10">
        <v>15</v>
      </c>
      <c r="E34" s="10">
        <v>15</v>
      </c>
      <c r="F34" s="10">
        <v>15</v>
      </c>
      <c r="G34" s="11">
        <f t="shared" si="2"/>
        <v>40</v>
      </c>
      <c r="H34" s="11">
        <v>15</v>
      </c>
      <c r="I34" s="11">
        <v>23</v>
      </c>
      <c r="J34" s="11">
        <f t="shared" si="3"/>
        <v>38</v>
      </c>
      <c r="K34" s="11">
        <f t="shared" si="4"/>
        <v>78</v>
      </c>
    </row>
    <row r="35" spans="1:11" s="5" customFormat="1" ht="23.1" customHeight="1">
      <c r="A35" s="13">
        <v>27</v>
      </c>
      <c r="B35" s="8" t="s">
        <v>35</v>
      </c>
      <c r="C35" s="9">
        <v>6251771</v>
      </c>
      <c r="D35" s="10">
        <v>14</v>
      </c>
      <c r="E35" s="10">
        <v>13</v>
      </c>
      <c r="F35" s="10">
        <v>15</v>
      </c>
      <c r="G35" s="11">
        <f t="shared" si="2"/>
        <v>37.333333333333336</v>
      </c>
      <c r="H35" s="11">
        <v>18</v>
      </c>
      <c r="I35" s="11">
        <v>24</v>
      </c>
      <c r="J35" s="11">
        <f t="shared" si="3"/>
        <v>42</v>
      </c>
      <c r="K35" s="11">
        <f t="shared" si="4"/>
        <v>79.333333333333343</v>
      </c>
    </row>
    <row r="36" spans="1:11" s="5" customFormat="1" ht="23.1" customHeight="1">
      <c r="A36" s="13">
        <v>28</v>
      </c>
      <c r="B36" s="8" t="s">
        <v>23</v>
      </c>
      <c r="C36" s="9">
        <v>5608554</v>
      </c>
      <c r="D36" s="10">
        <v>15</v>
      </c>
      <c r="E36" s="10">
        <v>14</v>
      </c>
      <c r="F36" s="10">
        <v>14</v>
      </c>
      <c r="G36" s="11">
        <f t="shared" si="2"/>
        <v>38.222222222222221</v>
      </c>
      <c r="H36" s="11">
        <v>22</v>
      </c>
      <c r="I36" s="11">
        <v>25</v>
      </c>
      <c r="J36" s="11">
        <f t="shared" si="3"/>
        <v>47</v>
      </c>
      <c r="K36" s="11">
        <f t="shared" si="4"/>
        <v>85.222222222222229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N12" sqref="N12"/>
    </sheetView>
  </sheetViews>
  <sheetFormatPr baseColWidth="10" defaultRowHeight="15"/>
  <cols>
    <col min="1" max="1" width="4.85546875" bestFit="1" customWidth="1"/>
    <col min="2" max="2" width="41.5703125" customWidth="1"/>
    <col min="3" max="3" width="10.85546875" bestFit="1" customWidth="1"/>
    <col min="4" max="6" width="5.7109375" customWidth="1"/>
    <col min="7" max="7" width="7.7109375" customWidth="1"/>
    <col min="8" max="11" width="6.7109375" customWidth="1"/>
  </cols>
  <sheetData>
    <row r="1" spans="1:11">
      <c r="A1" s="27" t="s">
        <v>104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>
      <c r="A4" s="27" t="s">
        <v>19</v>
      </c>
      <c r="B4" s="27"/>
      <c r="C4" s="27"/>
      <c r="D4" s="27"/>
      <c r="E4" s="27"/>
      <c r="F4" s="27"/>
      <c r="G4" s="27"/>
      <c r="H4" s="27"/>
      <c r="I4" s="27"/>
      <c r="J4" s="27"/>
      <c r="K4" s="27"/>
    </row>
    <row r="5" spans="1:11" ht="15.75">
      <c r="A5" s="33" t="s">
        <v>16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35.1" customHeight="1">
      <c r="A6" s="30" t="s">
        <v>2</v>
      </c>
      <c r="B6" s="30" t="s">
        <v>3</v>
      </c>
      <c r="C6" s="31" t="s">
        <v>4</v>
      </c>
      <c r="D6" s="32" t="s">
        <v>5</v>
      </c>
      <c r="E6" s="32"/>
      <c r="F6" s="32"/>
      <c r="G6" s="22" t="s">
        <v>6</v>
      </c>
      <c r="H6" s="1" t="s">
        <v>7</v>
      </c>
      <c r="I6" s="1" t="s">
        <v>7</v>
      </c>
      <c r="J6" s="22" t="s">
        <v>8</v>
      </c>
      <c r="K6" s="22" t="s">
        <v>9</v>
      </c>
    </row>
    <row r="7" spans="1:11" ht="30" customHeight="1">
      <c r="A7" s="30"/>
      <c r="B7" s="30"/>
      <c r="C7" s="31"/>
      <c r="D7" s="15" t="s">
        <v>10</v>
      </c>
      <c r="E7" s="15" t="s">
        <v>11</v>
      </c>
      <c r="F7" s="15" t="s">
        <v>12</v>
      </c>
      <c r="G7" s="23"/>
      <c r="H7" s="14" t="s">
        <v>13</v>
      </c>
      <c r="I7" s="14" t="s">
        <v>14</v>
      </c>
      <c r="J7" s="23"/>
      <c r="K7" s="23"/>
    </row>
    <row r="8" spans="1:11">
      <c r="A8" s="24" t="s">
        <v>15</v>
      </c>
      <c r="B8" s="25"/>
      <c r="C8" s="26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5" customFormat="1" ht="23.1" customHeight="1">
      <c r="A9" s="13">
        <v>1</v>
      </c>
      <c r="B9" s="8" t="s">
        <v>67</v>
      </c>
      <c r="C9" s="9">
        <v>5631295</v>
      </c>
      <c r="D9" s="10">
        <v>13</v>
      </c>
      <c r="E9" s="10">
        <v>13</v>
      </c>
      <c r="F9" s="10">
        <v>14</v>
      </c>
      <c r="G9" s="11">
        <f t="shared" ref="G9:G36" si="2">SUM(D9:F9)*100/45*0.4</f>
        <v>35.555555555555557</v>
      </c>
      <c r="H9" s="11">
        <v>18</v>
      </c>
      <c r="I9" s="11">
        <v>22</v>
      </c>
      <c r="J9" s="11">
        <f t="shared" ref="J9:J36" si="3">SUM(H9:I9)</f>
        <v>40</v>
      </c>
      <c r="K9" s="11">
        <f t="shared" ref="K9:K36" si="4">G9+J9</f>
        <v>75.555555555555557</v>
      </c>
    </row>
    <row r="10" spans="1:11" s="5" customFormat="1" ht="23.1" customHeight="1">
      <c r="A10" s="13">
        <v>2</v>
      </c>
      <c r="B10" s="8" t="s">
        <v>73</v>
      </c>
      <c r="C10" s="9">
        <v>6254096</v>
      </c>
      <c r="D10" s="10">
        <v>15</v>
      </c>
      <c r="E10" s="10">
        <v>15</v>
      </c>
      <c r="F10" s="10">
        <v>15</v>
      </c>
      <c r="G10" s="11">
        <f t="shared" si="2"/>
        <v>40</v>
      </c>
      <c r="H10" s="11">
        <v>14</v>
      </c>
      <c r="I10" s="11">
        <v>21</v>
      </c>
      <c r="J10" s="11">
        <f t="shared" si="3"/>
        <v>35</v>
      </c>
      <c r="K10" s="11">
        <f t="shared" si="4"/>
        <v>75</v>
      </c>
    </row>
    <row r="11" spans="1:11" s="5" customFormat="1" ht="23.1" customHeight="1">
      <c r="A11" s="13">
        <v>3</v>
      </c>
      <c r="B11" s="8" t="s">
        <v>56</v>
      </c>
      <c r="C11" s="9">
        <v>5446672</v>
      </c>
      <c r="D11" s="10">
        <v>15</v>
      </c>
      <c r="E11" s="10">
        <v>13</v>
      </c>
      <c r="F11" s="10">
        <v>10</v>
      </c>
      <c r="G11" s="11">
        <f t="shared" si="2"/>
        <v>33.777777777777779</v>
      </c>
      <c r="H11" s="11">
        <v>19</v>
      </c>
      <c r="I11" s="11">
        <v>24</v>
      </c>
      <c r="J11" s="11">
        <f t="shared" si="3"/>
        <v>43</v>
      </c>
      <c r="K11" s="11">
        <f t="shared" si="4"/>
        <v>76.777777777777771</v>
      </c>
    </row>
    <row r="12" spans="1:11" s="5" customFormat="1" ht="23.1" customHeight="1">
      <c r="A12" s="13">
        <v>4</v>
      </c>
      <c r="B12" s="8" t="s">
        <v>61</v>
      </c>
      <c r="C12" s="9">
        <v>5866960</v>
      </c>
      <c r="D12" s="9">
        <v>15</v>
      </c>
      <c r="E12" s="9">
        <v>15</v>
      </c>
      <c r="F12" s="9">
        <v>15</v>
      </c>
      <c r="G12" s="11">
        <f t="shared" si="2"/>
        <v>40</v>
      </c>
      <c r="H12" s="16">
        <v>14</v>
      </c>
      <c r="I12" s="16">
        <v>22</v>
      </c>
      <c r="J12" s="11">
        <f t="shared" si="3"/>
        <v>36</v>
      </c>
      <c r="K12" s="11">
        <f t="shared" si="4"/>
        <v>76</v>
      </c>
    </row>
    <row r="13" spans="1:11" s="5" customFormat="1" ht="23.1" customHeight="1">
      <c r="A13" s="13">
        <v>5</v>
      </c>
      <c r="B13" s="8" t="s">
        <v>64</v>
      </c>
      <c r="C13" s="9">
        <v>5763588</v>
      </c>
      <c r="D13" s="10">
        <v>11</v>
      </c>
      <c r="E13" s="10">
        <v>13</v>
      </c>
      <c r="F13" s="10">
        <v>13</v>
      </c>
      <c r="G13" s="11">
        <f t="shared" si="2"/>
        <v>32.888888888888893</v>
      </c>
      <c r="H13" s="11">
        <v>20</v>
      </c>
      <c r="I13" s="11">
        <v>23</v>
      </c>
      <c r="J13" s="11">
        <f t="shared" si="3"/>
        <v>43</v>
      </c>
      <c r="K13" s="11">
        <f t="shared" si="4"/>
        <v>75.888888888888886</v>
      </c>
    </row>
    <row r="14" spans="1:11" s="5" customFormat="1" ht="23.1" customHeight="1">
      <c r="A14" s="13">
        <v>6</v>
      </c>
      <c r="B14" s="8" t="s">
        <v>49</v>
      </c>
      <c r="C14" s="9">
        <v>5641182</v>
      </c>
      <c r="D14" s="10">
        <v>14</v>
      </c>
      <c r="E14" s="10">
        <v>15</v>
      </c>
      <c r="F14" s="10">
        <v>14</v>
      </c>
      <c r="G14" s="11">
        <f t="shared" si="2"/>
        <v>38.222222222222221</v>
      </c>
      <c r="H14" s="11">
        <v>15</v>
      </c>
      <c r="I14" s="11">
        <v>24</v>
      </c>
      <c r="J14" s="11">
        <f t="shared" si="3"/>
        <v>39</v>
      </c>
      <c r="K14" s="11">
        <f t="shared" si="4"/>
        <v>77.222222222222229</v>
      </c>
    </row>
    <row r="15" spans="1:11" s="5" customFormat="1" ht="23.1" customHeight="1">
      <c r="A15" s="13">
        <v>7</v>
      </c>
      <c r="B15" s="8" t="s">
        <v>68</v>
      </c>
      <c r="C15" s="9">
        <v>5554645</v>
      </c>
      <c r="D15" s="10">
        <v>12</v>
      </c>
      <c r="E15" s="10">
        <v>15</v>
      </c>
      <c r="F15" s="10">
        <v>15</v>
      </c>
      <c r="G15" s="11">
        <f t="shared" si="2"/>
        <v>37.333333333333336</v>
      </c>
      <c r="H15" s="11">
        <v>16</v>
      </c>
      <c r="I15" s="11">
        <v>22</v>
      </c>
      <c r="J15" s="11">
        <f t="shared" si="3"/>
        <v>38</v>
      </c>
      <c r="K15" s="11">
        <f t="shared" si="4"/>
        <v>75.333333333333343</v>
      </c>
    </row>
    <row r="16" spans="1:11" s="5" customFormat="1" ht="23.1" customHeight="1">
      <c r="A16" s="13">
        <v>8</v>
      </c>
      <c r="B16" s="8" t="s">
        <v>71</v>
      </c>
      <c r="C16" s="9">
        <v>6165580</v>
      </c>
      <c r="D16" s="10">
        <v>14</v>
      </c>
      <c r="E16" s="10">
        <v>15</v>
      </c>
      <c r="F16" s="10">
        <v>15</v>
      </c>
      <c r="G16" s="11">
        <f t="shared" si="2"/>
        <v>39.111111111111114</v>
      </c>
      <c r="H16" s="11">
        <v>17</v>
      </c>
      <c r="I16" s="11">
        <v>19</v>
      </c>
      <c r="J16" s="11">
        <f t="shared" si="3"/>
        <v>36</v>
      </c>
      <c r="K16" s="11">
        <f t="shared" si="4"/>
        <v>75.111111111111114</v>
      </c>
    </row>
    <row r="17" spans="1:11" s="5" customFormat="1" ht="23.1" customHeight="1">
      <c r="A17" s="13">
        <v>9</v>
      </c>
      <c r="B17" s="8" t="s">
        <v>53</v>
      </c>
      <c r="C17" s="9">
        <v>5439279</v>
      </c>
      <c r="D17" s="10">
        <v>15</v>
      </c>
      <c r="E17" s="10">
        <v>15</v>
      </c>
      <c r="F17" s="10">
        <v>15</v>
      </c>
      <c r="G17" s="11">
        <f t="shared" si="2"/>
        <v>40</v>
      </c>
      <c r="H17" s="11">
        <v>12</v>
      </c>
      <c r="I17" s="11">
        <v>25</v>
      </c>
      <c r="J17" s="11">
        <f t="shared" si="3"/>
        <v>37</v>
      </c>
      <c r="K17" s="11">
        <f t="shared" si="4"/>
        <v>77</v>
      </c>
    </row>
    <row r="18" spans="1:11" s="5" customFormat="1" ht="23.1" customHeight="1">
      <c r="A18" s="13">
        <v>10</v>
      </c>
      <c r="B18" s="8" t="s">
        <v>54</v>
      </c>
      <c r="C18" s="9">
        <v>5612847</v>
      </c>
      <c r="D18" s="10">
        <v>15</v>
      </c>
      <c r="E18" s="10">
        <v>15</v>
      </c>
      <c r="F18" s="10">
        <v>15</v>
      </c>
      <c r="G18" s="11">
        <f t="shared" si="2"/>
        <v>40</v>
      </c>
      <c r="H18" s="11">
        <v>19</v>
      </c>
      <c r="I18" s="11">
        <v>18</v>
      </c>
      <c r="J18" s="11">
        <f t="shared" si="3"/>
        <v>37</v>
      </c>
      <c r="K18" s="11">
        <f t="shared" si="4"/>
        <v>77</v>
      </c>
    </row>
    <row r="19" spans="1:11" s="5" customFormat="1" ht="23.1" customHeight="1">
      <c r="A19" s="13">
        <v>11</v>
      </c>
      <c r="B19" s="8" t="s">
        <v>48</v>
      </c>
      <c r="C19" s="9">
        <v>7436416</v>
      </c>
      <c r="D19" s="10">
        <v>15</v>
      </c>
      <c r="E19" s="10">
        <v>14</v>
      </c>
      <c r="F19" s="10">
        <v>10</v>
      </c>
      <c r="G19" s="11">
        <f t="shared" si="2"/>
        <v>34.666666666666671</v>
      </c>
      <c r="H19" s="11">
        <v>20</v>
      </c>
      <c r="I19" s="11">
        <v>23</v>
      </c>
      <c r="J19" s="11">
        <f t="shared" si="3"/>
        <v>43</v>
      </c>
      <c r="K19" s="11">
        <f t="shared" si="4"/>
        <v>77.666666666666671</v>
      </c>
    </row>
    <row r="20" spans="1:11" s="5" customFormat="1" ht="23.1" customHeight="1">
      <c r="A20" s="13">
        <v>12</v>
      </c>
      <c r="B20" s="8" t="s">
        <v>65</v>
      </c>
      <c r="C20" s="9">
        <v>5960816</v>
      </c>
      <c r="D20" s="10">
        <v>13</v>
      </c>
      <c r="E20" s="10">
        <v>12</v>
      </c>
      <c r="F20" s="10">
        <v>14</v>
      </c>
      <c r="G20" s="11">
        <f t="shared" si="2"/>
        <v>34.666666666666671</v>
      </c>
      <c r="H20" s="11">
        <v>21</v>
      </c>
      <c r="I20" s="11">
        <v>20</v>
      </c>
      <c r="J20" s="11">
        <f t="shared" si="3"/>
        <v>41</v>
      </c>
      <c r="K20" s="11">
        <f t="shared" si="4"/>
        <v>75.666666666666671</v>
      </c>
    </row>
    <row r="21" spans="1:11" s="5" customFormat="1" ht="23.1" customHeight="1">
      <c r="A21" s="13">
        <v>13</v>
      </c>
      <c r="B21" s="8" t="s">
        <v>69</v>
      </c>
      <c r="C21" s="9">
        <v>5624003</v>
      </c>
      <c r="D21" s="10">
        <v>13</v>
      </c>
      <c r="E21" s="10">
        <v>14</v>
      </c>
      <c r="F21" s="10">
        <v>15</v>
      </c>
      <c r="G21" s="11">
        <f t="shared" si="2"/>
        <v>37.333333333333336</v>
      </c>
      <c r="H21" s="11">
        <v>15</v>
      </c>
      <c r="I21" s="11">
        <v>23</v>
      </c>
      <c r="J21" s="11">
        <f t="shared" si="3"/>
        <v>38</v>
      </c>
      <c r="K21" s="11">
        <f t="shared" si="4"/>
        <v>75.333333333333343</v>
      </c>
    </row>
    <row r="22" spans="1:11" s="5" customFormat="1" ht="23.1" customHeight="1">
      <c r="A22" s="13">
        <v>14</v>
      </c>
      <c r="B22" s="8" t="s">
        <v>74</v>
      </c>
      <c r="C22" s="9">
        <v>6505988</v>
      </c>
      <c r="D22" s="10">
        <v>15</v>
      </c>
      <c r="E22" s="10">
        <v>15</v>
      </c>
      <c r="F22" s="10">
        <v>15</v>
      </c>
      <c r="G22" s="11">
        <f t="shared" si="2"/>
        <v>40</v>
      </c>
      <c r="H22" s="11">
        <v>17</v>
      </c>
      <c r="I22" s="11">
        <v>18</v>
      </c>
      <c r="J22" s="11">
        <f t="shared" si="3"/>
        <v>35</v>
      </c>
      <c r="K22" s="11">
        <f t="shared" si="4"/>
        <v>75</v>
      </c>
    </row>
    <row r="23" spans="1:11" s="5" customFormat="1" ht="23.1" customHeight="1">
      <c r="A23" s="13">
        <v>15</v>
      </c>
      <c r="B23" s="8" t="s">
        <v>58</v>
      </c>
      <c r="C23" s="9">
        <v>5504090</v>
      </c>
      <c r="D23" s="10">
        <v>15</v>
      </c>
      <c r="E23" s="10">
        <v>13</v>
      </c>
      <c r="F23" s="10">
        <v>15</v>
      </c>
      <c r="G23" s="11">
        <f t="shared" si="2"/>
        <v>38.222222222222221</v>
      </c>
      <c r="H23" s="11">
        <v>16</v>
      </c>
      <c r="I23" s="11">
        <v>22</v>
      </c>
      <c r="J23" s="11">
        <f t="shared" si="3"/>
        <v>38</v>
      </c>
      <c r="K23" s="11">
        <f t="shared" si="4"/>
        <v>76.222222222222229</v>
      </c>
    </row>
    <row r="24" spans="1:11" s="5" customFormat="1" ht="23.1" customHeight="1">
      <c r="A24" s="13">
        <v>16</v>
      </c>
      <c r="B24" s="8" t="s">
        <v>57</v>
      </c>
      <c r="C24" s="9">
        <v>5431555</v>
      </c>
      <c r="D24" s="10">
        <v>15</v>
      </c>
      <c r="E24" s="10">
        <v>13</v>
      </c>
      <c r="F24" s="10">
        <v>10</v>
      </c>
      <c r="G24" s="11">
        <f t="shared" si="2"/>
        <v>33.777777777777779</v>
      </c>
      <c r="H24" s="11">
        <v>22</v>
      </c>
      <c r="I24" s="11">
        <v>21</v>
      </c>
      <c r="J24" s="11">
        <f t="shared" si="3"/>
        <v>43</v>
      </c>
      <c r="K24" s="11">
        <f t="shared" si="4"/>
        <v>76.777777777777771</v>
      </c>
    </row>
    <row r="25" spans="1:11" s="5" customFormat="1" ht="23.1" customHeight="1">
      <c r="A25" s="13">
        <v>17</v>
      </c>
      <c r="B25" s="8" t="s">
        <v>55</v>
      </c>
      <c r="C25" s="9">
        <v>6812974</v>
      </c>
      <c r="D25" s="10">
        <v>15</v>
      </c>
      <c r="E25" s="10">
        <v>15</v>
      </c>
      <c r="F25" s="10">
        <v>15</v>
      </c>
      <c r="G25" s="11">
        <f t="shared" si="2"/>
        <v>40</v>
      </c>
      <c r="H25" s="11">
        <v>14</v>
      </c>
      <c r="I25" s="11">
        <v>23</v>
      </c>
      <c r="J25" s="11">
        <f t="shared" si="3"/>
        <v>37</v>
      </c>
      <c r="K25" s="11">
        <f t="shared" si="4"/>
        <v>77</v>
      </c>
    </row>
    <row r="26" spans="1:11" s="5" customFormat="1" ht="23.1" customHeight="1">
      <c r="A26" s="13">
        <v>18</v>
      </c>
      <c r="B26" s="8" t="s">
        <v>62</v>
      </c>
      <c r="C26" s="9">
        <v>5528800</v>
      </c>
      <c r="D26" s="10">
        <v>15</v>
      </c>
      <c r="E26" s="10">
        <v>15</v>
      </c>
      <c r="F26" s="10">
        <v>15</v>
      </c>
      <c r="G26" s="11">
        <f t="shared" si="2"/>
        <v>40</v>
      </c>
      <c r="H26" s="11">
        <v>15</v>
      </c>
      <c r="I26" s="11">
        <v>21</v>
      </c>
      <c r="J26" s="11">
        <f t="shared" si="3"/>
        <v>36</v>
      </c>
      <c r="K26" s="11">
        <f t="shared" si="4"/>
        <v>76</v>
      </c>
    </row>
    <row r="27" spans="1:11" s="5" customFormat="1" ht="23.1" customHeight="1">
      <c r="A27" s="13">
        <v>19</v>
      </c>
      <c r="B27" s="8" t="s">
        <v>50</v>
      </c>
      <c r="C27" s="9">
        <v>6325476</v>
      </c>
      <c r="D27" s="10">
        <v>15</v>
      </c>
      <c r="E27" s="10">
        <v>13</v>
      </c>
      <c r="F27" s="10">
        <v>15</v>
      </c>
      <c r="G27" s="11">
        <f t="shared" si="2"/>
        <v>38.222222222222221</v>
      </c>
      <c r="H27" s="11">
        <v>18</v>
      </c>
      <c r="I27" s="11">
        <v>21</v>
      </c>
      <c r="J27" s="11">
        <f t="shared" si="3"/>
        <v>39</v>
      </c>
      <c r="K27" s="11">
        <f t="shared" si="4"/>
        <v>77.222222222222229</v>
      </c>
    </row>
    <row r="28" spans="1:11" s="5" customFormat="1" ht="23.1" customHeight="1">
      <c r="A28" s="13">
        <v>20</v>
      </c>
      <c r="B28" s="8" t="s">
        <v>70</v>
      </c>
      <c r="C28" s="9">
        <v>5592643</v>
      </c>
      <c r="D28" s="10">
        <v>13</v>
      </c>
      <c r="E28" s="10">
        <v>14</v>
      </c>
      <c r="F28" s="10">
        <v>15</v>
      </c>
      <c r="G28" s="11">
        <f t="shared" si="2"/>
        <v>37.333333333333336</v>
      </c>
      <c r="H28" s="11">
        <v>16</v>
      </c>
      <c r="I28" s="11">
        <v>22</v>
      </c>
      <c r="J28" s="11">
        <f t="shared" si="3"/>
        <v>38</v>
      </c>
      <c r="K28" s="11">
        <f t="shared" si="4"/>
        <v>75.333333333333343</v>
      </c>
    </row>
    <row r="29" spans="1:11" s="5" customFormat="1" ht="23.1" customHeight="1">
      <c r="A29" s="13">
        <v>21</v>
      </c>
      <c r="B29" s="8" t="s">
        <v>59</v>
      </c>
      <c r="C29" s="9">
        <v>6847902</v>
      </c>
      <c r="D29" s="10">
        <v>14</v>
      </c>
      <c r="E29" s="10">
        <v>14</v>
      </c>
      <c r="F29" s="10">
        <v>15</v>
      </c>
      <c r="G29" s="11">
        <f t="shared" si="2"/>
        <v>38.222222222222221</v>
      </c>
      <c r="H29" s="11">
        <v>13</v>
      </c>
      <c r="I29" s="11">
        <v>25</v>
      </c>
      <c r="J29" s="11">
        <f t="shared" si="3"/>
        <v>38</v>
      </c>
      <c r="K29" s="11">
        <f t="shared" si="4"/>
        <v>76.222222222222229</v>
      </c>
    </row>
    <row r="30" spans="1:11" s="5" customFormat="1" ht="23.1" customHeight="1">
      <c r="A30" s="13">
        <v>22</v>
      </c>
      <c r="B30" s="8" t="s">
        <v>52</v>
      </c>
      <c r="C30" s="9">
        <v>6775617</v>
      </c>
      <c r="D30" s="9">
        <v>14</v>
      </c>
      <c r="E30" s="9">
        <v>15</v>
      </c>
      <c r="F30" s="9">
        <v>15</v>
      </c>
      <c r="G30" s="11">
        <f t="shared" si="2"/>
        <v>39.111111111111114</v>
      </c>
      <c r="H30" s="11">
        <v>17</v>
      </c>
      <c r="I30" s="11">
        <v>21</v>
      </c>
      <c r="J30" s="11">
        <f t="shared" si="3"/>
        <v>38</v>
      </c>
      <c r="K30" s="11">
        <f t="shared" si="4"/>
        <v>77.111111111111114</v>
      </c>
    </row>
    <row r="31" spans="1:11" s="5" customFormat="1" ht="23.1" customHeight="1">
      <c r="A31" s="13">
        <v>23</v>
      </c>
      <c r="B31" s="8" t="s">
        <v>51</v>
      </c>
      <c r="C31" s="9">
        <v>5663383</v>
      </c>
      <c r="D31" s="10">
        <v>15</v>
      </c>
      <c r="E31" s="10">
        <v>14</v>
      </c>
      <c r="F31" s="10">
        <v>14</v>
      </c>
      <c r="G31" s="11">
        <f t="shared" si="2"/>
        <v>38.222222222222221</v>
      </c>
      <c r="H31" s="11">
        <v>14</v>
      </c>
      <c r="I31" s="11">
        <v>25</v>
      </c>
      <c r="J31" s="11">
        <f t="shared" si="3"/>
        <v>39</v>
      </c>
      <c r="K31" s="11">
        <f t="shared" si="4"/>
        <v>77.222222222222229</v>
      </c>
    </row>
    <row r="32" spans="1:11" s="5" customFormat="1" ht="23.1" customHeight="1">
      <c r="A32" s="13">
        <v>24</v>
      </c>
      <c r="B32" s="8" t="s">
        <v>72</v>
      </c>
      <c r="C32" s="9">
        <v>5947394</v>
      </c>
      <c r="D32" s="10">
        <v>14</v>
      </c>
      <c r="E32" s="10">
        <v>15</v>
      </c>
      <c r="F32" s="10">
        <v>15</v>
      </c>
      <c r="G32" s="11">
        <f t="shared" si="2"/>
        <v>39.111111111111114</v>
      </c>
      <c r="H32" s="11">
        <v>15</v>
      </c>
      <c r="I32" s="11">
        <v>21</v>
      </c>
      <c r="J32" s="11">
        <f t="shared" si="3"/>
        <v>36</v>
      </c>
      <c r="K32" s="11">
        <f t="shared" si="4"/>
        <v>75.111111111111114</v>
      </c>
    </row>
    <row r="33" spans="1:11" s="5" customFormat="1" ht="23.1" customHeight="1">
      <c r="A33" s="13">
        <v>25</v>
      </c>
      <c r="B33" s="8" t="s">
        <v>63</v>
      </c>
      <c r="C33" s="9">
        <v>5872575</v>
      </c>
      <c r="D33" s="10">
        <v>15</v>
      </c>
      <c r="E33" s="10">
        <v>15</v>
      </c>
      <c r="F33" s="10">
        <v>15</v>
      </c>
      <c r="G33" s="11">
        <f t="shared" si="2"/>
        <v>40</v>
      </c>
      <c r="H33" s="11">
        <v>13</v>
      </c>
      <c r="I33" s="11">
        <v>23</v>
      </c>
      <c r="J33" s="11">
        <f t="shared" si="3"/>
        <v>36</v>
      </c>
      <c r="K33" s="11">
        <f t="shared" si="4"/>
        <v>76</v>
      </c>
    </row>
    <row r="34" spans="1:11" s="5" customFormat="1" ht="23.1" customHeight="1">
      <c r="A34" s="13">
        <v>26</v>
      </c>
      <c r="B34" s="8" t="s">
        <v>75</v>
      </c>
      <c r="C34" s="9">
        <v>7021834</v>
      </c>
      <c r="D34" s="10">
        <v>15</v>
      </c>
      <c r="E34" s="10">
        <v>15</v>
      </c>
      <c r="F34" s="10">
        <v>15</v>
      </c>
      <c r="G34" s="11">
        <f t="shared" si="2"/>
        <v>40</v>
      </c>
      <c r="H34" s="11">
        <v>15</v>
      </c>
      <c r="I34" s="11">
        <v>20</v>
      </c>
      <c r="J34" s="11">
        <f t="shared" si="3"/>
        <v>35</v>
      </c>
      <c r="K34" s="11">
        <f t="shared" si="4"/>
        <v>75</v>
      </c>
    </row>
    <row r="35" spans="1:11" s="5" customFormat="1" ht="23.1" customHeight="1">
      <c r="A35" s="13">
        <v>27</v>
      </c>
      <c r="B35" s="12" t="s">
        <v>60</v>
      </c>
      <c r="C35" s="9">
        <v>6293408</v>
      </c>
      <c r="D35" s="10">
        <v>14</v>
      </c>
      <c r="E35" s="10">
        <v>15</v>
      </c>
      <c r="F35" s="10">
        <v>15</v>
      </c>
      <c r="G35" s="11">
        <f t="shared" si="2"/>
        <v>39.111111111111114</v>
      </c>
      <c r="H35" s="11">
        <v>11</v>
      </c>
      <c r="I35" s="11">
        <v>26</v>
      </c>
      <c r="J35" s="11">
        <f t="shared" si="3"/>
        <v>37</v>
      </c>
      <c r="K35" s="11">
        <f t="shared" si="4"/>
        <v>76.111111111111114</v>
      </c>
    </row>
    <row r="36" spans="1:11" s="5" customFormat="1" ht="23.1" customHeight="1">
      <c r="A36" s="13">
        <v>28</v>
      </c>
      <c r="B36" s="8" t="s">
        <v>66</v>
      </c>
      <c r="C36" s="9">
        <v>5626459</v>
      </c>
      <c r="D36" s="10">
        <v>12</v>
      </c>
      <c r="E36" s="10">
        <v>13</v>
      </c>
      <c r="F36" s="10">
        <v>14</v>
      </c>
      <c r="G36" s="11">
        <f t="shared" si="2"/>
        <v>34.666666666666671</v>
      </c>
      <c r="H36" s="11">
        <v>18</v>
      </c>
      <c r="I36" s="11">
        <v>23</v>
      </c>
      <c r="J36" s="11">
        <f t="shared" si="3"/>
        <v>41</v>
      </c>
      <c r="K36" s="11">
        <f t="shared" si="4"/>
        <v>75.666666666666671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M17" sqref="M17"/>
    </sheetView>
  </sheetViews>
  <sheetFormatPr baseColWidth="10" defaultRowHeight="15"/>
  <cols>
    <col min="1" max="1" width="3.5703125" bestFit="1" customWidth="1"/>
    <col min="2" max="2" width="44.7109375" customWidth="1"/>
    <col min="3" max="3" width="10" bestFit="1" customWidth="1"/>
    <col min="4" max="6" width="5.7109375" customWidth="1"/>
    <col min="7" max="11" width="6.7109375" customWidth="1"/>
  </cols>
  <sheetData>
    <row r="1" spans="1:11">
      <c r="A1" s="27" t="s">
        <v>104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>
      <c r="A4" s="27" t="s">
        <v>19</v>
      </c>
      <c r="B4" s="27"/>
      <c r="C4" s="27"/>
      <c r="D4" s="27"/>
      <c r="E4" s="27"/>
      <c r="F4" s="27"/>
      <c r="G4" s="27"/>
      <c r="H4" s="27"/>
      <c r="I4" s="27"/>
      <c r="J4" s="27"/>
      <c r="K4" s="27"/>
    </row>
    <row r="5" spans="1:11" ht="15.75">
      <c r="A5" s="33" t="s">
        <v>18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35.1" customHeight="1">
      <c r="A6" s="30" t="s">
        <v>2</v>
      </c>
      <c r="B6" s="30" t="s">
        <v>3</v>
      </c>
      <c r="C6" s="31" t="s">
        <v>4</v>
      </c>
      <c r="D6" s="32" t="s">
        <v>5</v>
      </c>
      <c r="E6" s="32"/>
      <c r="F6" s="32"/>
      <c r="G6" s="22" t="s">
        <v>6</v>
      </c>
      <c r="H6" s="1" t="s">
        <v>7</v>
      </c>
      <c r="I6" s="1" t="s">
        <v>7</v>
      </c>
      <c r="J6" s="22" t="s">
        <v>8</v>
      </c>
      <c r="K6" s="22" t="s">
        <v>9</v>
      </c>
    </row>
    <row r="7" spans="1:11" ht="30" customHeight="1">
      <c r="A7" s="30"/>
      <c r="B7" s="30"/>
      <c r="C7" s="31"/>
      <c r="D7" s="15" t="s">
        <v>10</v>
      </c>
      <c r="E7" s="15" t="s">
        <v>11</v>
      </c>
      <c r="F7" s="15" t="s">
        <v>12</v>
      </c>
      <c r="G7" s="23"/>
      <c r="H7" s="14" t="s">
        <v>13</v>
      </c>
      <c r="I7" s="14" t="s">
        <v>14</v>
      </c>
      <c r="J7" s="23"/>
      <c r="K7" s="23"/>
    </row>
    <row r="8" spans="1:11">
      <c r="A8" s="24" t="s">
        <v>15</v>
      </c>
      <c r="B8" s="25"/>
      <c r="C8" s="26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5" customFormat="1" ht="23.1" customHeight="1">
      <c r="A9" s="13">
        <v>1</v>
      </c>
      <c r="B9" s="18" t="s">
        <v>93</v>
      </c>
      <c r="C9" s="19">
        <v>6359083</v>
      </c>
      <c r="D9" s="20">
        <v>14</v>
      </c>
      <c r="E9" s="20">
        <v>15</v>
      </c>
      <c r="F9" s="20">
        <v>14</v>
      </c>
      <c r="G9" s="17">
        <f t="shared" ref="G9:G36" si="2">SUM(D9:F9)*100/45*0.4</f>
        <v>38.222222222222221</v>
      </c>
      <c r="H9" s="17">
        <v>14</v>
      </c>
      <c r="I9" s="17">
        <v>19</v>
      </c>
      <c r="J9" s="17">
        <f t="shared" ref="J9:J36" si="3">SUM(H9:I9)</f>
        <v>33</v>
      </c>
      <c r="K9" s="17">
        <f t="shared" ref="K9:K36" si="4">G9+J9</f>
        <v>71.222222222222229</v>
      </c>
    </row>
    <row r="10" spans="1:11" s="5" customFormat="1" ht="23.1" customHeight="1">
      <c r="A10" s="13">
        <v>2</v>
      </c>
      <c r="B10" s="18" t="s">
        <v>78</v>
      </c>
      <c r="C10" s="19">
        <v>5591649</v>
      </c>
      <c r="D10" s="20">
        <v>14</v>
      </c>
      <c r="E10" s="20">
        <v>14</v>
      </c>
      <c r="F10" s="20">
        <v>15</v>
      </c>
      <c r="G10" s="17">
        <f t="shared" si="2"/>
        <v>38.222222222222221</v>
      </c>
      <c r="H10" s="17">
        <v>13</v>
      </c>
      <c r="I10" s="17">
        <v>23</v>
      </c>
      <c r="J10" s="17">
        <f t="shared" si="3"/>
        <v>36</v>
      </c>
      <c r="K10" s="17">
        <f t="shared" si="4"/>
        <v>74.222222222222229</v>
      </c>
    </row>
    <row r="11" spans="1:11" s="5" customFormat="1" ht="23.1" customHeight="1">
      <c r="A11" s="13">
        <v>3</v>
      </c>
      <c r="B11" s="18" t="s">
        <v>97</v>
      </c>
      <c r="C11" s="19">
        <v>7032589</v>
      </c>
      <c r="D11" s="20">
        <v>15</v>
      </c>
      <c r="E11" s="20">
        <v>15</v>
      </c>
      <c r="F11" s="20">
        <v>15</v>
      </c>
      <c r="G11" s="17">
        <f t="shared" si="2"/>
        <v>40</v>
      </c>
      <c r="H11" s="17">
        <v>13</v>
      </c>
      <c r="I11" s="17">
        <v>17</v>
      </c>
      <c r="J11" s="17">
        <f t="shared" si="3"/>
        <v>30</v>
      </c>
      <c r="K11" s="17">
        <f t="shared" si="4"/>
        <v>70</v>
      </c>
    </row>
    <row r="12" spans="1:11" s="5" customFormat="1" ht="23.1" customHeight="1">
      <c r="A12" s="13">
        <v>4</v>
      </c>
      <c r="B12" s="21" t="s">
        <v>98</v>
      </c>
      <c r="C12" s="19">
        <v>5574802</v>
      </c>
      <c r="D12" s="20">
        <v>15</v>
      </c>
      <c r="E12" s="20">
        <v>15</v>
      </c>
      <c r="F12" s="20">
        <v>15</v>
      </c>
      <c r="G12" s="17">
        <f t="shared" si="2"/>
        <v>40</v>
      </c>
      <c r="H12" s="17">
        <v>8</v>
      </c>
      <c r="I12" s="17">
        <v>22</v>
      </c>
      <c r="J12" s="17">
        <f t="shared" si="3"/>
        <v>30</v>
      </c>
      <c r="K12" s="17">
        <f t="shared" si="4"/>
        <v>70</v>
      </c>
    </row>
    <row r="13" spans="1:11" s="5" customFormat="1" ht="23.1" customHeight="1">
      <c r="A13" s="13">
        <v>5</v>
      </c>
      <c r="B13" s="18" t="s">
        <v>83</v>
      </c>
      <c r="C13" s="19">
        <v>6762680</v>
      </c>
      <c r="D13" s="20">
        <v>15</v>
      </c>
      <c r="E13" s="20">
        <v>15</v>
      </c>
      <c r="F13" s="20">
        <v>15</v>
      </c>
      <c r="G13" s="17">
        <f t="shared" si="2"/>
        <v>40</v>
      </c>
      <c r="H13" s="17">
        <v>9</v>
      </c>
      <c r="I13" s="17">
        <v>24</v>
      </c>
      <c r="J13" s="17">
        <f t="shared" si="3"/>
        <v>33</v>
      </c>
      <c r="K13" s="17">
        <f t="shared" si="4"/>
        <v>73</v>
      </c>
    </row>
    <row r="14" spans="1:11" s="5" customFormat="1" ht="23.1" customHeight="1">
      <c r="A14" s="13">
        <v>6</v>
      </c>
      <c r="B14" s="18" t="s">
        <v>80</v>
      </c>
      <c r="C14" s="19">
        <v>5910678</v>
      </c>
      <c r="D14" s="20">
        <v>14</v>
      </c>
      <c r="E14" s="20">
        <v>15</v>
      </c>
      <c r="F14" s="20">
        <v>14</v>
      </c>
      <c r="G14" s="17">
        <f t="shared" si="2"/>
        <v>38.222222222222221</v>
      </c>
      <c r="H14" s="17">
        <v>12</v>
      </c>
      <c r="I14" s="17">
        <v>24</v>
      </c>
      <c r="J14" s="17">
        <f t="shared" si="3"/>
        <v>36</v>
      </c>
      <c r="K14" s="17">
        <f t="shared" si="4"/>
        <v>74.222222222222229</v>
      </c>
    </row>
    <row r="15" spans="1:11" s="5" customFormat="1" ht="23.1" customHeight="1">
      <c r="A15" s="13">
        <v>7</v>
      </c>
      <c r="B15" s="18" t="s">
        <v>85</v>
      </c>
      <c r="C15" s="19">
        <v>5795524</v>
      </c>
      <c r="D15" s="20">
        <v>12</v>
      </c>
      <c r="E15" s="20">
        <v>13</v>
      </c>
      <c r="F15" s="20">
        <v>13</v>
      </c>
      <c r="G15" s="17">
        <f t="shared" si="2"/>
        <v>33.777777777777779</v>
      </c>
      <c r="H15" s="17">
        <v>18</v>
      </c>
      <c r="I15" s="17">
        <v>21</v>
      </c>
      <c r="J15" s="17">
        <f t="shared" si="3"/>
        <v>39</v>
      </c>
      <c r="K15" s="17">
        <f t="shared" si="4"/>
        <v>72.777777777777771</v>
      </c>
    </row>
    <row r="16" spans="1:11" s="5" customFormat="1" ht="23.1" customHeight="1">
      <c r="A16" s="13">
        <v>8</v>
      </c>
      <c r="B16" s="18" t="s">
        <v>76</v>
      </c>
      <c r="C16" s="19">
        <v>5814558</v>
      </c>
      <c r="D16" s="20">
        <v>12</v>
      </c>
      <c r="E16" s="20">
        <v>14</v>
      </c>
      <c r="F16" s="20">
        <v>15</v>
      </c>
      <c r="G16" s="17">
        <f t="shared" si="2"/>
        <v>36.44444444444445</v>
      </c>
      <c r="H16" s="17">
        <v>17</v>
      </c>
      <c r="I16" s="17">
        <v>21</v>
      </c>
      <c r="J16" s="17">
        <f t="shared" si="3"/>
        <v>38</v>
      </c>
      <c r="K16" s="17">
        <f t="shared" si="4"/>
        <v>74.444444444444457</v>
      </c>
    </row>
    <row r="17" spans="1:11" s="5" customFormat="1" ht="23.1" customHeight="1">
      <c r="A17" s="13">
        <v>9</v>
      </c>
      <c r="B17" s="18" t="s">
        <v>99</v>
      </c>
      <c r="C17" s="19">
        <v>5713406</v>
      </c>
      <c r="D17" s="20">
        <v>10</v>
      </c>
      <c r="E17" s="20">
        <v>15</v>
      </c>
      <c r="F17" s="20">
        <v>14</v>
      </c>
      <c r="G17" s="17">
        <f t="shared" si="2"/>
        <v>34.666666666666671</v>
      </c>
      <c r="H17" s="17">
        <v>12</v>
      </c>
      <c r="I17" s="17">
        <v>23</v>
      </c>
      <c r="J17" s="17">
        <f t="shared" si="3"/>
        <v>35</v>
      </c>
      <c r="K17" s="17">
        <f t="shared" si="4"/>
        <v>69.666666666666671</v>
      </c>
    </row>
    <row r="18" spans="1:11" s="5" customFormat="1" ht="23.1" customHeight="1">
      <c r="A18" s="13">
        <v>10</v>
      </c>
      <c r="B18" s="18" t="s">
        <v>89</v>
      </c>
      <c r="C18" s="19">
        <v>7083465</v>
      </c>
      <c r="D18" s="20">
        <v>15</v>
      </c>
      <c r="E18" s="20">
        <v>15</v>
      </c>
      <c r="F18" s="20">
        <v>15</v>
      </c>
      <c r="G18" s="17">
        <f t="shared" si="2"/>
        <v>40</v>
      </c>
      <c r="H18" s="17">
        <v>10</v>
      </c>
      <c r="I18" s="17">
        <v>22</v>
      </c>
      <c r="J18" s="17">
        <f t="shared" si="3"/>
        <v>32</v>
      </c>
      <c r="K18" s="17">
        <f t="shared" si="4"/>
        <v>72</v>
      </c>
    </row>
    <row r="19" spans="1:11" s="5" customFormat="1" ht="23.1" customHeight="1">
      <c r="A19" s="13">
        <v>11</v>
      </c>
      <c r="B19" s="18" t="s">
        <v>87</v>
      </c>
      <c r="C19" s="19">
        <v>5706548</v>
      </c>
      <c r="D19" s="20">
        <v>14</v>
      </c>
      <c r="E19" s="20">
        <v>15</v>
      </c>
      <c r="F19" s="20">
        <v>15</v>
      </c>
      <c r="G19" s="17">
        <f t="shared" si="2"/>
        <v>39.111111111111114</v>
      </c>
      <c r="H19" s="17">
        <v>16</v>
      </c>
      <c r="I19" s="17">
        <v>17</v>
      </c>
      <c r="J19" s="17">
        <f t="shared" si="3"/>
        <v>33</v>
      </c>
      <c r="K19" s="17">
        <f t="shared" si="4"/>
        <v>72.111111111111114</v>
      </c>
    </row>
    <row r="20" spans="1:11" s="5" customFormat="1" ht="23.1" customHeight="1">
      <c r="A20" s="13">
        <v>12</v>
      </c>
      <c r="B20" s="18" t="s">
        <v>90</v>
      </c>
      <c r="C20" s="19">
        <v>5609312</v>
      </c>
      <c r="D20" s="20">
        <v>15</v>
      </c>
      <c r="E20" s="20">
        <v>15</v>
      </c>
      <c r="F20" s="20">
        <v>15</v>
      </c>
      <c r="G20" s="17">
        <f t="shared" si="2"/>
        <v>40</v>
      </c>
      <c r="H20" s="17">
        <v>12</v>
      </c>
      <c r="I20" s="17">
        <v>20</v>
      </c>
      <c r="J20" s="17">
        <f t="shared" si="3"/>
        <v>32</v>
      </c>
      <c r="K20" s="17">
        <f t="shared" si="4"/>
        <v>72</v>
      </c>
    </row>
    <row r="21" spans="1:11" s="5" customFormat="1" ht="23.1" customHeight="1">
      <c r="A21" s="13">
        <v>13</v>
      </c>
      <c r="B21" s="18" t="s">
        <v>82</v>
      </c>
      <c r="C21" s="19">
        <v>5774808</v>
      </c>
      <c r="D21" s="20">
        <v>13</v>
      </c>
      <c r="E21" s="20">
        <v>15</v>
      </c>
      <c r="F21" s="20">
        <v>15</v>
      </c>
      <c r="G21" s="17">
        <f t="shared" si="2"/>
        <v>38.222222222222221</v>
      </c>
      <c r="H21" s="17">
        <v>10</v>
      </c>
      <c r="I21" s="17">
        <v>25</v>
      </c>
      <c r="J21" s="17">
        <f t="shared" si="3"/>
        <v>35</v>
      </c>
      <c r="K21" s="17">
        <f t="shared" si="4"/>
        <v>73.222222222222229</v>
      </c>
    </row>
    <row r="22" spans="1:11" s="5" customFormat="1" ht="23.1" customHeight="1">
      <c r="A22" s="13">
        <v>14</v>
      </c>
      <c r="B22" s="18" t="s">
        <v>101</v>
      </c>
      <c r="C22" s="19">
        <v>6215273</v>
      </c>
      <c r="D22" s="20">
        <v>13</v>
      </c>
      <c r="E22" s="20">
        <v>11</v>
      </c>
      <c r="F22" s="20">
        <v>15</v>
      </c>
      <c r="G22" s="17">
        <f t="shared" si="2"/>
        <v>34.666666666666671</v>
      </c>
      <c r="H22" s="17">
        <v>15</v>
      </c>
      <c r="I22" s="17">
        <v>19</v>
      </c>
      <c r="J22" s="17">
        <f t="shared" si="3"/>
        <v>34</v>
      </c>
      <c r="K22" s="17">
        <f t="shared" si="4"/>
        <v>68.666666666666671</v>
      </c>
    </row>
    <row r="23" spans="1:11" s="5" customFormat="1" ht="23.1" customHeight="1">
      <c r="A23" s="13">
        <v>15</v>
      </c>
      <c r="B23" s="18" t="s">
        <v>102</v>
      </c>
      <c r="C23" s="19">
        <v>5791584</v>
      </c>
      <c r="D23" s="20">
        <v>11</v>
      </c>
      <c r="E23" s="20">
        <v>10</v>
      </c>
      <c r="F23" s="20">
        <v>13</v>
      </c>
      <c r="G23" s="17">
        <f t="shared" si="2"/>
        <v>30.222222222222225</v>
      </c>
      <c r="H23" s="17">
        <v>15</v>
      </c>
      <c r="I23" s="17">
        <v>23</v>
      </c>
      <c r="J23" s="17">
        <f t="shared" si="3"/>
        <v>38</v>
      </c>
      <c r="K23" s="17">
        <f t="shared" si="4"/>
        <v>68.222222222222229</v>
      </c>
    </row>
    <row r="24" spans="1:11" s="5" customFormat="1" ht="23.1" customHeight="1">
      <c r="A24" s="13">
        <v>16</v>
      </c>
      <c r="B24" s="18" t="s">
        <v>84</v>
      </c>
      <c r="C24" s="19">
        <v>6255906</v>
      </c>
      <c r="D24" s="20">
        <v>15</v>
      </c>
      <c r="E24" s="20">
        <v>15</v>
      </c>
      <c r="F24" s="20">
        <v>15</v>
      </c>
      <c r="G24" s="17">
        <f t="shared" si="2"/>
        <v>40</v>
      </c>
      <c r="H24" s="17">
        <v>15</v>
      </c>
      <c r="I24" s="17">
        <v>18</v>
      </c>
      <c r="J24" s="17">
        <f t="shared" si="3"/>
        <v>33</v>
      </c>
      <c r="K24" s="17">
        <f t="shared" si="4"/>
        <v>73</v>
      </c>
    </row>
    <row r="25" spans="1:11" s="5" customFormat="1" ht="23.1" customHeight="1">
      <c r="A25" s="13">
        <v>17</v>
      </c>
      <c r="B25" s="18" t="s">
        <v>96</v>
      </c>
      <c r="C25" s="19">
        <v>5554731</v>
      </c>
      <c r="D25" s="20">
        <v>15</v>
      </c>
      <c r="E25" s="20">
        <v>14</v>
      </c>
      <c r="F25" s="20">
        <v>15</v>
      </c>
      <c r="G25" s="17">
        <f t="shared" si="2"/>
        <v>39.111111111111114</v>
      </c>
      <c r="H25" s="17">
        <v>12</v>
      </c>
      <c r="I25" s="17">
        <v>19</v>
      </c>
      <c r="J25" s="17">
        <f t="shared" si="3"/>
        <v>31</v>
      </c>
      <c r="K25" s="17">
        <f t="shared" si="4"/>
        <v>70.111111111111114</v>
      </c>
    </row>
    <row r="26" spans="1:11" s="5" customFormat="1" ht="23.1" customHeight="1">
      <c r="A26" s="13">
        <v>18</v>
      </c>
      <c r="B26" s="18" t="s">
        <v>77</v>
      </c>
      <c r="C26" s="19">
        <v>5625764</v>
      </c>
      <c r="D26" s="20">
        <v>13</v>
      </c>
      <c r="E26" s="20">
        <v>15</v>
      </c>
      <c r="F26" s="20">
        <v>14</v>
      </c>
      <c r="G26" s="17">
        <f t="shared" si="2"/>
        <v>37.333333333333336</v>
      </c>
      <c r="H26" s="17">
        <v>16</v>
      </c>
      <c r="I26" s="17">
        <v>21</v>
      </c>
      <c r="J26" s="17">
        <f t="shared" si="3"/>
        <v>37</v>
      </c>
      <c r="K26" s="17">
        <f t="shared" si="4"/>
        <v>74.333333333333343</v>
      </c>
    </row>
    <row r="27" spans="1:11" s="5" customFormat="1" ht="23.1" customHeight="1">
      <c r="A27" s="13">
        <v>19</v>
      </c>
      <c r="B27" s="18" t="s">
        <v>103</v>
      </c>
      <c r="C27" s="19">
        <v>5663143</v>
      </c>
      <c r="D27" s="20">
        <v>15</v>
      </c>
      <c r="E27" s="20">
        <v>15</v>
      </c>
      <c r="F27" s="20">
        <v>15</v>
      </c>
      <c r="G27" s="17">
        <f t="shared" si="2"/>
        <v>40</v>
      </c>
      <c r="H27" s="17">
        <v>11</v>
      </c>
      <c r="I27" s="17">
        <v>17</v>
      </c>
      <c r="J27" s="17">
        <f t="shared" si="3"/>
        <v>28</v>
      </c>
      <c r="K27" s="17">
        <f t="shared" si="4"/>
        <v>68</v>
      </c>
    </row>
    <row r="28" spans="1:11" s="5" customFormat="1" ht="23.1" customHeight="1">
      <c r="A28" s="13">
        <v>20</v>
      </c>
      <c r="B28" s="18" t="s">
        <v>81</v>
      </c>
      <c r="C28" s="19">
        <v>6012186</v>
      </c>
      <c r="D28" s="20">
        <v>14</v>
      </c>
      <c r="E28" s="20">
        <v>14</v>
      </c>
      <c r="F28" s="20">
        <v>11</v>
      </c>
      <c r="G28" s="17">
        <f t="shared" si="2"/>
        <v>34.666666666666671</v>
      </c>
      <c r="H28" s="17">
        <v>20</v>
      </c>
      <c r="I28" s="17">
        <v>19</v>
      </c>
      <c r="J28" s="17">
        <f t="shared" si="3"/>
        <v>39</v>
      </c>
      <c r="K28" s="17">
        <f t="shared" si="4"/>
        <v>73.666666666666671</v>
      </c>
    </row>
    <row r="29" spans="1:11" s="5" customFormat="1" ht="23.1" customHeight="1">
      <c r="A29" s="13">
        <v>21</v>
      </c>
      <c r="B29" s="18" t="s">
        <v>100</v>
      </c>
      <c r="C29" s="19">
        <v>6169987</v>
      </c>
      <c r="D29" s="20">
        <v>11</v>
      </c>
      <c r="E29" s="20">
        <v>11</v>
      </c>
      <c r="F29" s="20">
        <v>14</v>
      </c>
      <c r="G29" s="17">
        <f t="shared" si="2"/>
        <v>32</v>
      </c>
      <c r="H29" s="17">
        <v>15</v>
      </c>
      <c r="I29" s="17">
        <v>22</v>
      </c>
      <c r="J29" s="17">
        <f t="shared" si="3"/>
        <v>37</v>
      </c>
      <c r="K29" s="17">
        <f t="shared" si="4"/>
        <v>69</v>
      </c>
    </row>
    <row r="30" spans="1:11" s="5" customFormat="1" ht="23.1" customHeight="1">
      <c r="A30" s="13">
        <v>22</v>
      </c>
      <c r="B30" s="18" t="s">
        <v>95</v>
      </c>
      <c r="C30" s="19">
        <v>7421779</v>
      </c>
      <c r="D30" s="20">
        <v>14</v>
      </c>
      <c r="E30" s="20">
        <v>13</v>
      </c>
      <c r="F30" s="20">
        <v>13</v>
      </c>
      <c r="G30" s="17">
        <f t="shared" si="2"/>
        <v>35.555555555555557</v>
      </c>
      <c r="H30" s="17">
        <v>14</v>
      </c>
      <c r="I30" s="17">
        <v>21</v>
      </c>
      <c r="J30" s="17">
        <f t="shared" si="3"/>
        <v>35</v>
      </c>
      <c r="K30" s="17">
        <f t="shared" si="4"/>
        <v>70.555555555555557</v>
      </c>
    </row>
    <row r="31" spans="1:11" s="5" customFormat="1" ht="23.1" customHeight="1">
      <c r="A31" s="13">
        <v>23</v>
      </c>
      <c r="B31" s="18" t="s">
        <v>92</v>
      </c>
      <c r="C31" s="19">
        <v>6038593</v>
      </c>
      <c r="D31" s="20">
        <v>14</v>
      </c>
      <c r="E31" s="20">
        <v>14</v>
      </c>
      <c r="F31" s="20">
        <v>13</v>
      </c>
      <c r="G31" s="17">
        <f t="shared" si="2"/>
        <v>36.44444444444445</v>
      </c>
      <c r="H31" s="17">
        <v>13</v>
      </c>
      <c r="I31" s="17">
        <v>22</v>
      </c>
      <c r="J31" s="17">
        <f t="shared" si="3"/>
        <v>35</v>
      </c>
      <c r="K31" s="17">
        <f t="shared" si="4"/>
        <v>71.444444444444457</v>
      </c>
    </row>
    <row r="32" spans="1:11" s="5" customFormat="1" ht="23.1" customHeight="1">
      <c r="A32" s="13">
        <v>24</v>
      </c>
      <c r="B32" s="18" t="s">
        <v>88</v>
      </c>
      <c r="C32" s="19">
        <v>6523142</v>
      </c>
      <c r="D32" s="20">
        <v>15</v>
      </c>
      <c r="E32" s="20">
        <v>14</v>
      </c>
      <c r="F32" s="20">
        <v>15</v>
      </c>
      <c r="G32" s="17">
        <f t="shared" si="2"/>
        <v>39.111111111111114</v>
      </c>
      <c r="H32" s="17">
        <v>13</v>
      </c>
      <c r="I32" s="17">
        <v>20</v>
      </c>
      <c r="J32" s="17">
        <f t="shared" si="3"/>
        <v>33</v>
      </c>
      <c r="K32" s="17">
        <f t="shared" si="4"/>
        <v>72.111111111111114</v>
      </c>
    </row>
    <row r="33" spans="1:11" s="5" customFormat="1" ht="23.1" customHeight="1">
      <c r="A33" s="13">
        <v>25</v>
      </c>
      <c r="B33" s="18" t="s">
        <v>91</v>
      </c>
      <c r="C33" s="19">
        <v>5630233</v>
      </c>
      <c r="D33" s="20">
        <v>15</v>
      </c>
      <c r="E33" s="20">
        <v>15</v>
      </c>
      <c r="F33" s="20">
        <v>15</v>
      </c>
      <c r="G33" s="17">
        <f t="shared" si="2"/>
        <v>40</v>
      </c>
      <c r="H33" s="17">
        <v>12</v>
      </c>
      <c r="I33" s="17">
        <v>20</v>
      </c>
      <c r="J33" s="17">
        <f t="shared" si="3"/>
        <v>32</v>
      </c>
      <c r="K33" s="17">
        <f t="shared" si="4"/>
        <v>72</v>
      </c>
    </row>
    <row r="34" spans="1:11" s="5" customFormat="1" ht="23.1" customHeight="1">
      <c r="A34" s="13">
        <v>26</v>
      </c>
      <c r="B34" s="18" t="s">
        <v>94</v>
      </c>
      <c r="C34" s="19">
        <v>5679822</v>
      </c>
      <c r="D34" s="20">
        <v>15</v>
      </c>
      <c r="E34" s="20">
        <v>15</v>
      </c>
      <c r="F34" s="20">
        <v>15</v>
      </c>
      <c r="G34" s="17">
        <f t="shared" si="2"/>
        <v>40</v>
      </c>
      <c r="H34" s="17">
        <v>10</v>
      </c>
      <c r="I34" s="17">
        <v>21</v>
      </c>
      <c r="J34" s="17">
        <f t="shared" si="3"/>
        <v>31</v>
      </c>
      <c r="K34" s="17">
        <f t="shared" si="4"/>
        <v>71</v>
      </c>
    </row>
    <row r="35" spans="1:11" s="5" customFormat="1" ht="23.1" customHeight="1">
      <c r="A35" s="13">
        <v>27</v>
      </c>
      <c r="B35" s="18" t="s">
        <v>79</v>
      </c>
      <c r="C35" s="19">
        <v>5814065</v>
      </c>
      <c r="D35" s="20">
        <v>15</v>
      </c>
      <c r="E35" s="20">
        <v>13</v>
      </c>
      <c r="F35" s="20">
        <v>15</v>
      </c>
      <c r="G35" s="17">
        <f t="shared" si="2"/>
        <v>38.222222222222221</v>
      </c>
      <c r="H35" s="17">
        <v>15</v>
      </c>
      <c r="I35" s="17">
        <v>21</v>
      </c>
      <c r="J35" s="17">
        <f t="shared" si="3"/>
        <v>36</v>
      </c>
      <c r="K35" s="17">
        <f t="shared" si="4"/>
        <v>74.222222222222229</v>
      </c>
    </row>
    <row r="36" spans="1:11" s="5" customFormat="1" ht="23.1" customHeight="1">
      <c r="A36" s="13">
        <v>28</v>
      </c>
      <c r="B36" s="18" t="s">
        <v>86</v>
      </c>
      <c r="C36" s="19">
        <v>6559467</v>
      </c>
      <c r="D36" s="20">
        <v>13</v>
      </c>
      <c r="E36" s="20">
        <v>13</v>
      </c>
      <c r="F36" s="20">
        <v>14</v>
      </c>
      <c r="G36" s="17">
        <f t="shared" si="2"/>
        <v>35.555555555555557</v>
      </c>
      <c r="H36" s="17">
        <v>13</v>
      </c>
      <c r="I36" s="17">
        <v>24</v>
      </c>
      <c r="J36" s="17">
        <f t="shared" si="3"/>
        <v>37</v>
      </c>
      <c r="K36" s="17">
        <f t="shared" si="4"/>
        <v>72.555555555555557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QCA (1)</vt:lpstr>
      <vt:lpstr>QCA (2)</vt:lpstr>
      <vt:lpstr>QCA(3)</vt:lpstr>
      <vt:lpstr>'QCA (1)'!Títulos_a_imprimir</vt:lpstr>
      <vt:lpstr>'QCA (2)'!Títulos_a_imprimir</vt:lpstr>
      <vt:lpstr>'QCA(3)'!Títulos_a_imprimir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2021-03-08T22:33:45Z</dcterms:modified>
</cp:coreProperties>
</file>