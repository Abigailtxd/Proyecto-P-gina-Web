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20055" windowHeight="7935" tabRatio="924" activeTab="1"/>
  </bookViews>
  <sheets>
    <sheet name="MCG (1)" sheetId="66" r:id="rId1"/>
    <sheet name="MCG(2)" sheetId="28" r:id="rId2"/>
  </sheets>
  <definedNames>
    <definedName name="_xlnm.Print_Titles" localSheetId="0">'MCG (1)'!$1:$8</definedName>
    <definedName name="_xlnm.Print_Titles" localSheetId="1">'MCG(2)'!$1:$8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28" i="28" l="1"/>
  <c r="G28" i="28"/>
  <c r="K28" i="28" s="1"/>
  <c r="J23" i="28"/>
  <c r="G23" i="28"/>
  <c r="K23" i="28" s="1"/>
  <c r="J9" i="28"/>
  <c r="G9" i="28"/>
  <c r="K9" i="28" s="1"/>
  <c r="J22" i="28"/>
  <c r="G22" i="28"/>
  <c r="K22" i="28" s="1"/>
  <c r="J21" i="28"/>
  <c r="G21" i="28"/>
  <c r="K21" i="28" s="1"/>
  <c r="J35" i="28"/>
  <c r="G35" i="28"/>
  <c r="K35" i="28" s="1"/>
  <c r="J31" i="28"/>
  <c r="G31" i="28"/>
  <c r="K31" i="28" s="1"/>
  <c r="J27" i="28"/>
  <c r="G27" i="28"/>
  <c r="K27" i="28" s="1"/>
  <c r="J12" i="28"/>
  <c r="G12" i="28"/>
  <c r="K12" i="28" s="1"/>
  <c r="J33" i="28"/>
  <c r="G33" i="28"/>
  <c r="K33" i="28" s="1"/>
  <c r="J20" i="28"/>
  <c r="G20" i="28"/>
  <c r="K20" i="28" s="1"/>
  <c r="J19" i="28"/>
  <c r="G19" i="28"/>
  <c r="K19" i="28" s="1"/>
  <c r="J29" i="28"/>
  <c r="G29" i="28"/>
  <c r="K29" i="28" s="1"/>
  <c r="J24" i="28"/>
  <c r="G24" i="28"/>
  <c r="K24" i="28" s="1"/>
  <c r="J13" i="28"/>
  <c r="G13" i="28"/>
  <c r="K13" i="28" s="1"/>
  <c r="J17" i="28"/>
  <c r="G17" i="28"/>
  <c r="K17" i="28" s="1"/>
  <c r="J10" i="28"/>
  <c r="G10" i="28"/>
  <c r="K10" i="28" s="1"/>
  <c r="J18" i="28"/>
  <c r="G18" i="28"/>
  <c r="K18" i="28" s="1"/>
  <c r="J32" i="28"/>
  <c r="G32" i="28"/>
  <c r="K32" i="28" s="1"/>
  <c r="J30" i="28"/>
  <c r="G30" i="28"/>
  <c r="K30" i="28" s="1"/>
  <c r="J25" i="28"/>
  <c r="G25" i="28"/>
  <c r="K25" i="28" s="1"/>
  <c r="J36" i="28"/>
  <c r="G36" i="28"/>
  <c r="K36" i="28" s="1"/>
  <c r="J16" i="28"/>
  <c r="G16" i="28"/>
  <c r="K16" i="28" s="1"/>
  <c r="J15" i="28"/>
  <c r="G15" i="28"/>
  <c r="K15" i="28" s="1"/>
  <c r="J34" i="28"/>
  <c r="G34" i="28"/>
  <c r="K34" i="28" s="1"/>
  <c r="J26" i="28"/>
  <c r="G26" i="28"/>
  <c r="K26" i="28" s="1"/>
  <c r="J11" i="28"/>
  <c r="G11" i="28"/>
  <c r="K11" i="28" s="1"/>
  <c r="J14" i="28"/>
  <c r="G14" i="28"/>
  <c r="K14" i="28" s="1"/>
  <c r="J29" i="66"/>
  <c r="G29" i="66"/>
  <c r="K29" i="66" l="1"/>
  <c r="J9" i="66" l="1"/>
  <c r="G9" i="66"/>
  <c r="J22" i="66"/>
  <c r="G22" i="66"/>
  <c r="J24" i="66"/>
  <c r="G24" i="66"/>
  <c r="J28" i="66"/>
  <c r="G28" i="66"/>
  <c r="J30" i="66"/>
  <c r="G30" i="66"/>
  <c r="J35" i="66"/>
  <c r="G35" i="66"/>
  <c r="J23" i="66"/>
  <c r="G23" i="66"/>
  <c r="J15" i="66"/>
  <c r="G15" i="66"/>
  <c r="J27" i="66"/>
  <c r="G27" i="66"/>
  <c r="J25" i="66"/>
  <c r="G25" i="66"/>
  <c r="J31" i="66"/>
  <c r="G31" i="66"/>
  <c r="J12" i="66"/>
  <c r="G12" i="66"/>
  <c r="J26" i="66"/>
  <c r="G26" i="66"/>
  <c r="J36" i="66"/>
  <c r="G36" i="66"/>
  <c r="J20" i="66"/>
  <c r="G20" i="66"/>
  <c r="J10" i="66"/>
  <c r="G10" i="66"/>
  <c r="J19" i="66"/>
  <c r="G19" i="66"/>
  <c r="J21" i="66"/>
  <c r="G21" i="66"/>
  <c r="J13" i="66"/>
  <c r="G13" i="66"/>
  <c r="J17" i="66"/>
  <c r="G17" i="66"/>
  <c r="J14" i="66"/>
  <c r="G14" i="66"/>
  <c r="J18" i="66"/>
  <c r="G18" i="66"/>
  <c r="J32" i="66"/>
  <c r="G32" i="66"/>
  <c r="J33" i="66"/>
  <c r="G33" i="66"/>
  <c r="J34" i="66"/>
  <c r="G34" i="66"/>
  <c r="J16" i="66"/>
  <c r="G16" i="66"/>
  <c r="J11" i="66"/>
  <c r="G11" i="66"/>
  <c r="K11" i="66" l="1"/>
  <c r="K16" i="66"/>
  <c r="K34" i="66"/>
  <c r="K33" i="66"/>
  <c r="K32" i="66"/>
  <c r="K18" i="66"/>
  <c r="K14" i="66"/>
  <c r="K17" i="66"/>
  <c r="K13" i="66"/>
  <c r="K21" i="66"/>
  <c r="K19" i="66"/>
  <c r="K10" i="66"/>
  <c r="K20" i="66"/>
  <c r="K36" i="66"/>
  <c r="K26" i="66"/>
  <c r="K12" i="66"/>
  <c r="K31" i="66"/>
  <c r="K25" i="66"/>
  <c r="K27" i="66"/>
  <c r="K15" i="66"/>
  <c r="K23" i="66"/>
  <c r="K35" i="66"/>
  <c r="K30" i="66"/>
  <c r="K28" i="66"/>
  <c r="K24" i="66"/>
  <c r="K22" i="66"/>
  <c r="K9" i="66"/>
  <c r="J8" i="66"/>
  <c r="G8" i="66"/>
  <c r="K8" i="66" l="1"/>
  <c r="J8" i="28"/>
  <c r="G8" i="28"/>
  <c r="K8" i="28" l="1"/>
</calcChain>
</file>

<file path=xl/sharedStrings.xml><?xml version="1.0" encoding="utf-8"?>
<sst xmlns="http://schemas.openxmlformats.org/spreadsheetml/2006/main" count="97" uniqueCount="77">
  <si>
    <t>MINISTERIO DE EDUCACION Y CULTURA</t>
  </si>
  <si>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</si>
  <si>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</si>
  <si>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</si>
  <si>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</si>
  <si>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</si>
  <si>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</si>
  <si>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</si>
  <si>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</si>
  <si>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</si>
  <si>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</si>
  <si>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</si>
  <si>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</si>
  <si>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</si>
  <si>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</si>
  <si>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</si>
  <si>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TURNO MAÑANA CURSO: 1ro. SECCION: 1ra.</t>
  </si>
  <si>
    <t>TURNO TARDE CURSO: 1ro. SECCION: 2da.</t>
  </si>
  <si>
    <t>MECANICA GENERAL</t>
  </si>
  <si>
    <t>LISTA DEFINITIVA- COLEGIO TECNICO NACIONAL DE LA CAPITAL / 2021</t>
  </si>
  <si>
    <t>BAEZ COLMAN LUCIANO</t>
  </si>
  <si>
    <t>ESPINOLA ESCOBAR PAMELA BELEN</t>
  </si>
  <si>
    <t>RECALDE RAMIREZ ANDREA BELEN</t>
  </si>
  <si>
    <t xml:space="preserve">RAMIREZ BENITEZ JOSE IGNACIO </t>
  </si>
  <si>
    <t>PINHONI TORRES SILVANA DANIELLE</t>
  </si>
  <si>
    <t>FERREIRA AVILA CHRISTIAN GABRIEL</t>
  </si>
  <si>
    <t>DUARTE MENDOZA ENZO NICOLAS</t>
  </si>
  <si>
    <t>FERNANDEZ VIVA CRISTHIAN BENJAMIN</t>
  </si>
  <si>
    <t>CARDOZO GARAY CARLOS FEDERICO</t>
  </si>
  <si>
    <t>GONZALEZ LOPEZ ALFONSO MARIA</t>
  </si>
  <si>
    <t>GIMENEZ IBARROLA WALTER DAMIAN</t>
  </si>
  <si>
    <t>ARCE PORTILLO LUIS GONZALO MANUEL</t>
  </si>
  <si>
    <t>GIMENEZ SILVA LUCAS IGNACIO</t>
  </si>
  <si>
    <t>ZORRILLA ROLON FACUNDO DANIEL</t>
  </si>
  <si>
    <t>NUÑEZ GUILLEN LUCAS MANUEL</t>
  </si>
  <si>
    <t>CABRERA RUMICHI HERNAN AUGUSTO</t>
  </si>
  <si>
    <t>PEREZ PAREDES SABRINA BELEN</t>
  </si>
  <si>
    <t>MINEIRO ESTIGARRIBIA MARCOS ANTONIO</t>
  </si>
  <si>
    <t>OCAMPOS DELVALLE JOSE MANUEL</t>
  </si>
  <si>
    <t>DURAÑONA ORTEGA GABRIEL</t>
  </si>
  <si>
    <t>LOPEZ ROJAS CRISTHIAN GABRIEL</t>
  </si>
  <si>
    <t>ROMERO PEREZ FELIPE DANIEL</t>
  </si>
  <si>
    <t>PENAYO GONZALEZ PAUL BARUC</t>
  </si>
  <si>
    <t>ORTEGA VIDAL ANDREA MILAGROS</t>
  </si>
  <si>
    <t>MALDONADO SANABRIA GUILLERMO FABIAN</t>
  </si>
  <si>
    <t>LOPEZ ALMADA ISAIAS SEBASTIAN</t>
  </si>
  <si>
    <t>A</t>
  </si>
  <si>
    <t>ACUÑA ORTEGA SANTIAGO EZEQUIEL</t>
  </si>
  <si>
    <t>OTTONELLI BENITEZ DYLAN EDUARDO</t>
  </si>
  <si>
    <t>BELOTTO RECALDE FATIMA LUJAN</t>
  </si>
  <si>
    <t>ARANDA GONZALEZ JENNIFER LUJAN</t>
  </si>
  <si>
    <t>MARTINEZ TORRES FRANCO DANIEL</t>
  </si>
  <si>
    <t>VILLA CHAMORRO ADALBERTO HERNAN</t>
  </si>
  <si>
    <t>BENTO SANABRIA MAIA ONELIR</t>
  </si>
  <si>
    <t>BOBADILLA LOPEZ MOISES ALBERTO</t>
  </si>
  <si>
    <t>VILLALBA RODRIGUEZ CLAUDIO SEBASTIAN</t>
  </si>
  <si>
    <t>MARECOS GONZALEZ AYELEN MARIA PAZ</t>
  </si>
  <si>
    <t>ROMAN PETTERS ADRIANA JAZMIN</t>
  </si>
  <si>
    <t>TORRES AMARILLA ELINDA JAZMIN</t>
  </si>
  <si>
    <t>CRISTALDO FERNANDEZ ALMA JAZMIN</t>
  </si>
  <si>
    <t>AÑAZCO LARREA RICARDO DANIEL</t>
  </si>
  <si>
    <t>CHILAVERT SANCHEZ JUAN JOSE</t>
  </si>
  <si>
    <t>BAREIRO ADORNO MARIA LUANA</t>
  </si>
  <si>
    <t>LEON AYALA ANAYELI MILAGROS</t>
  </si>
  <si>
    <t>PINTOS GALEANO GONZALO MOISES</t>
  </si>
  <si>
    <t>CUBILLA ACOSTA VALENTINA ANTONELLA</t>
  </si>
  <si>
    <t>FERNANDEZ LOPEZ THIAGO HERNAN</t>
  </si>
  <si>
    <t>VALLEJOS PARRA ERWIN EZEQUIEL</t>
  </si>
  <si>
    <t xml:space="preserve">BACIGALUPO MOLINAS FRANCISCO EDUARDO </t>
  </si>
  <si>
    <t>MENDEZ SEGOVIA CHRISTIAN NICOLOS</t>
  </si>
  <si>
    <t>ROMAN PRESENTADO FABRICIO DANIEL</t>
  </si>
  <si>
    <t>VILLAALTA AQUINO TIAGO ANDRES</t>
  </si>
  <si>
    <t>FLORENCIAÑEZ CANTERO ALANA DE JESUS</t>
  </si>
  <si>
    <t>GOMEZ DUARTE ARTURO MIGUEL</t>
  </si>
  <si>
    <t>ACHUCARRO ROLON LUIS IGNACIO</t>
  </si>
  <si>
    <t>HEURICH MENDOZA FRANCO ADRIAN</t>
  </si>
  <si>
    <t>PEREZ FRANCO LUZ MICAELA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</si>
</sst>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4"/>
      <color rgb="FF565656"/>
      <name val="Roboto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7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19" workbookViewId="0">
      <selection activeCell="M28" sqref="M28"/>
    </sheetView>
  </sheetViews>
  <sheetFormatPr baseColWidth="10" defaultRowHeight="15"/>
  <cols>
    <col min="1" max="1" width="3.42578125" customWidth="1"/>
    <col min="2" max="2" width="45.85546875" customWidth="1"/>
    <col min="3" max="3" width="10" bestFit="1" customWidth="1"/>
    <col min="4" max="6" width="5.7109375" customWidth="1"/>
    <col min="7" max="11" width="6.7109375" customWidth="1"/>
  </cols>
  <sheetData>
    <row r="1" spans="1:1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2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2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2">
      <c r="A4" s="25" t="s">
        <v>19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2" ht="15.75">
      <c r="A5" s="27" t="s">
        <v>16</v>
      </c>
      <c r="B5" s="28"/>
      <c r="C5" s="28"/>
      <c r="D5" s="28"/>
      <c r="E5" s="28"/>
      <c r="F5" s="28"/>
      <c r="G5" s="28"/>
      <c r="H5" s="28"/>
      <c r="I5" s="28"/>
      <c r="J5" s="28"/>
      <c r="K5" s="29"/>
    </row>
    <row r="6" spans="1:12" ht="35.1" customHeight="1">
      <c r="A6" s="30" t="s">
        <v>3</v>
      </c>
      <c r="B6" s="30" t="s">
        <v>4</v>
      </c>
      <c r="C6" s="31" t="s">
        <v>5</v>
      </c>
      <c r="D6" s="32" t="s">
        <v>6</v>
      </c>
      <c r="E6" s="32"/>
      <c r="F6" s="32"/>
      <c r="G6" s="20" t="s">
        <v>7</v>
      </c>
      <c r="H6" s="1" t="s">
        <v>8</v>
      </c>
      <c r="I6" s="1" t="s">
        <v>8</v>
      </c>
      <c r="J6" s="20" t="s">
        <v>9</v>
      </c>
      <c r="K6" s="20" t="s">
        <v>10</v>
      </c>
    </row>
    <row r="7" spans="1:12" ht="30" customHeight="1">
      <c r="A7" s="30"/>
      <c r="B7" s="30"/>
      <c r="C7" s="31"/>
      <c r="D7" s="9" t="s">
        <v>11</v>
      </c>
      <c r="E7" s="9" t="s">
        <v>12</v>
      </c>
      <c r="F7" s="9" t="s">
        <v>13</v>
      </c>
      <c r="G7" s="21"/>
      <c r="H7" s="8" t="s">
        <v>14</v>
      </c>
      <c r="I7" s="8" t="s">
        <v>15</v>
      </c>
      <c r="J7" s="21"/>
      <c r="K7" s="21"/>
      <c r="L7" s="7"/>
    </row>
    <row r="8" spans="1:12">
      <c r="A8" s="22" t="s">
        <v>18</v>
      </c>
      <c r="B8" s="23"/>
      <c r="C8" s="24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2" s="16" customFormat="1" ht="23.1" customHeight="1">
      <c r="A9" s="15">
        <v>1</v>
      </c>
      <c r="B9" s="11" t="s">
        <v>47</v>
      </c>
      <c r="C9" s="12">
        <v>5632345</v>
      </c>
      <c r="D9" s="13">
        <v>7</v>
      </c>
      <c r="E9" s="13">
        <v>6</v>
      </c>
      <c r="F9" s="13">
        <v>8</v>
      </c>
      <c r="G9" s="14">
        <f t="shared" ref="G9:G36" si="2">SUM(D9:F9)*100/45*0.4</f>
        <v>18.666666666666668</v>
      </c>
      <c r="H9" s="14">
        <v>6</v>
      </c>
      <c r="I9" s="14">
        <v>15</v>
      </c>
      <c r="J9" s="14">
        <f t="shared" ref="J9:J36" si="3">SUM(H9:I9)</f>
        <v>21</v>
      </c>
      <c r="K9" s="14">
        <f t="shared" ref="K9:K36" si="4">G9+J9</f>
        <v>39.666666666666671</v>
      </c>
    </row>
    <row r="10" spans="1:12" s="16" customFormat="1" ht="23.1" customHeight="1">
      <c r="A10" s="15">
        <v>2</v>
      </c>
      <c r="B10" s="11" t="s">
        <v>31</v>
      </c>
      <c r="C10" s="12">
        <v>6812135</v>
      </c>
      <c r="D10" s="13">
        <v>9</v>
      </c>
      <c r="E10" s="13">
        <v>9</v>
      </c>
      <c r="F10" s="13">
        <v>10</v>
      </c>
      <c r="G10" s="14">
        <f t="shared" si="2"/>
        <v>24.888888888888889</v>
      </c>
      <c r="H10" s="14">
        <v>10</v>
      </c>
      <c r="I10" s="14">
        <v>21</v>
      </c>
      <c r="J10" s="14">
        <f t="shared" si="3"/>
        <v>31</v>
      </c>
      <c r="K10" s="14">
        <f t="shared" si="4"/>
        <v>55.888888888888886</v>
      </c>
    </row>
    <row r="11" spans="1:12" s="16" customFormat="1" ht="23.1" customHeight="1">
      <c r="A11" s="15">
        <v>3</v>
      </c>
      <c r="B11" s="11" t="s">
        <v>20</v>
      </c>
      <c r="C11" s="12">
        <v>6091425</v>
      </c>
      <c r="D11" s="13">
        <v>9</v>
      </c>
      <c r="E11" s="13">
        <v>12</v>
      </c>
      <c r="F11" s="13">
        <v>15</v>
      </c>
      <c r="G11" s="14">
        <f t="shared" si="2"/>
        <v>32</v>
      </c>
      <c r="H11" s="14">
        <v>17</v>
      </c>
      <c r="I11" s="14">
        <v>21</v>
      </c>
      <c r="J11" s="14">
        <f t="shared" si="3"/>
        <v>38</v>
      </c>
      <c r="K11" s="14">
        <f t="shared" si="4"/>
        <v>70</v>
      </c>
    </row>
    <row r="12" spans="1:12" s="16" customFormat="1" ht="23.1" customHeight="1">
      <c r="A12" s="15">
        <v>4</v>
      </c>
      <c r="B12" s="11" t="s">
        <v>35</v>
      </c>
      <c r="C12" s="12">
        <v>5664382</v>
      </c>
      <c r="D12" s="13">
        <v>9</v>
      </c>
      <c r="E12" s="13">
        <v>8</v>
      </c>
      <c r="F12" s="13">
        <v>6</v>
      </c>
      <c r="G12" s="14">
        <f t="shared" si="2"/>
        <v>20.444444444444446</v>
      </c>
      <c r="H12" s="14">
        <v>16</v>
      </c>
      <c r="I12" s="14">
        <v>17</v>
      </c>
      <c r="J12" s="14">
        <f t="shared" si="3"/>
        <v>33</v>
      </c>
      <c r="K12" s="14">
        <f t="shared" si="4"/>
        <v>53.444444444444443</v>
      </c>
    </row>
    <row r="13" spans="1:12" s="16" customFormat="1" ht="23.1" customHeight="1">
      <c r="A13" s="15">
        <v>5</v>
      </c>
      <c r="B13" s="11" t="s">
        <v>28</v>
      </c>
      <c r="C13" s="12">
        <v>5988478</v>
      </c>
      <c r="D13" s="13">
        <v>10</v>
      </c>
      <c r="E13" s="13">
        <v>10</v>
      </c>
      <c r="F13" s="13">
        <v>14</v>
      </c>
      <c r="G13" s="14">
        <f t="shared" si="2"/>
        <v>30.222222222222225</v>
      </c>
      <c r="H13" s="14">
        <v>13</v>
      </c>
      <c r="I13" s="14">
        <v>19</v>
      </c>
      <c r="J13" s="14">
        <f t="shared" si="3"/>
        <v>32</v>
      </c>
      <c r="K13" s="14">
        <f t="shared" si="4"/>
        <v>62.222222222222229</v>
      </c>
    </row>
    <row r="14" spans="1:12" s="16" customFormat="1" ht="23.1" customHeight="1">
      <c r="A14" s="15">
        <v>6</v>
      </c>
      <c r="B14" s="11" t="s">
        <v>26</v>
      </c>
      <c r="C14" s="12">
        <v>5788187</v>
      </c>
      <c r="D14" s="13">
        <v>15</v>
      </c>
      <c r="E14" s="13">
        <v>15</v>
      </c>
      <c r="F14" s="13">
        <v>13</v>
      </c>
      <c r="G14" s="14">
        <f t="shared" si="2"/>
        <v>38.222222222222221</v>
      </c>
      <c r="H14" s="14">
        <v>9</v>
      </c>
      <c r="I14" s="14">
        <v>16</v>
      </c>
      <c r="J14" s="14">
        <f t="shared" si="3"/>
        <v>25</v>
      </c>
      <c r="K14" s="14">
        <f t="shared" si="4"/>
        <v>63.222222222222221</v>
      </c>
    </row>
    <row r="15" spans="1:12" s="16" customFormat="1" ht="23.1" customHeight="1">
      <c r="A15" s="15">
        <v>7</v>
      </c>
      <c r="B15" s="11" t="s">
        <v>39</v>
      </c>
      <c r="C15" s="12">
        <v>6194812</v>
      </c>
      <c r="D15" s="13">
        <v>12</v>
      </c>
      <c r="E15" s="13">
        <v>13</v>
      </c>
      <c r="F15" s="13">
        <v>9</v>
      </c>
      <c r="G15" s="14">
        <f t="shared" si="2"/>
        <v>30.222222222222225</v>
      </c>
      <c r="H15" s="14">
        <v>4</v>
      </c>
      <c r="I15" s="14">
        <v>14</v>
      </c>
      <c r="J15" s="14">
        <f t="shared" si="3"/>
        <v>18</v>
      </c>
      <c r="K15" s="14">
        <f t="shared" si="4"/>
        <v>48.222222222222229</v>
      </c>
    </row>
    <row r="16" spans="1:12" s="16" customFormat="1" ht="23.1" customHeight="1">
      <c r="A16" s="15">
        <v>8</v>
      </c>
      <c r="B16" s="11" t="s">
        <v>21</v>
      </c>
      <c r="C16" s="12">
        <v>6876208</v>
      </c>
      <c r="D16" s="13">
        <v>15</v>
      </c>
      <c r="E16" s="13">
        <v>15</v>
      </c>
      <c r="F16" s="13">
        <v>15</v>
      </c>
      <c r="G16" s="14">
        <f t="shared" si="2"/>
        <v>40</v>
      </c>
      <c r="H16" s="14">
        <v>12</v>
      </c>
      <c r="I16" s="14">
        <v>17</v>
      </c>
      <c r="J16" s="14">
        <f t="shared" si="3"/>
        <v>29</v>
      </c>
      <c r="K16" s="14">
        <f t="shared" si="4"/>
        <v>69</v>
      </c>
    </row>
    <row r="17" spans="1:11" s="16" customFormat="1" ht="23.1" customHeight="1">
      <c r="A17" s="15">
        <v>9</v>
      </c>
      <c r="B17" s="11" t="s">
        <v>27</v>
      </c>
      <c r="C17" s="12">
        <v>5591723</v>
      </c>
      <c r="D17" s="13">
        <v>15</v>
      </c>
      <c r="E17" s="13">
        <v>10</v>
      </c>
      <c r="F17" s="13">
        <v>6</v>
      </c>
      <c r="G17" s="14">
        <f t="shared" si="2"/>
        <v>27.555555555555557</v>
      </c>
      <c r="H17" s="14">
        <v>18</v>
      </c>
      <c r="I17" s="14">
        <v>17</v>
      </c>
      <c r="J17" s="14">
        <f t="shared" si="3"/>
        <v>35</v>
      </c>
      <c r="K17" s="14">
        <f t="shared" si="4"/>
        <v>62.555555555555557</v>
      </c>
    </row>
    <row r="18" spans="1:11" s="16" customFormat="1" ht="23.1" customHeight="1">
      <c r="A18" s="15">
        <v>10</v>
      </c>
      <c r="B18" s="11" t="s">
        <v>25</v>
      </c>
      <c r="C18" s="12">
        <v>5909745</v>
      </c>
      <c r="D18" s="13">
        <v>9</v>
      </c>
      <c r="E18" s="13">
        <v>13</v>
      </c>
      <c r="F18" s="13">
        <v>10</v>
      </c>
      <c r="G18" s="14">
        <f t="shared" si="2"/>
        <v>28.444444444444446</v>
      </c>
      <c r="H18" s="14">
        <v>13</v>
      </c>
      <c r="I18" s="14">
        <v>22</v>
      </c>
      <c r="J18" s="14">
        <f t="shared" si="3"/>
        <v>35</v>
      </c>
      <c r="K18" s="14">
        <f t="shared" si="4"/>
        <v>63.444444444444443</v>
      </c>
    </row>
    <row r="19" spans="1:11" s="16" customFormat="1" ht="23.1" customHeight="1">
      <c r="A19" s="15">
        <v>11</v>
      </c>
      <c r="B19" s="11" t="s">
        <v>30</v>
      </c>
      <c r="C19" s="12">
        <v>7360809</v>
      </c>
      <c r="D19" s="13">
        <v>11</v>
      </c>
      <c r="E19" s="13">
        <v>11</v>
      </c>
      <c r="F19" s="13">
        <v>10</v>
      </c>
      <c r="G19" s="14">
        <f t="shared" si="2"/>
        <v>28.444444444444446</v>
      </c>
      <c r="H19" s="14">
        <v>10</v>
      </c>
      <c r="I19" s="14">
        <v>18</v>
      </c>
      <c r="J19" s="14">
        <f t="shared" si="3"/>
        <v>28</v>
      </c>
      <c r="K19" s="14">
        <f t="shared" si="4"/>
        <v>56.444444444444443</v>
      </c>
    </row>
    <row r="20" spans="1:11" s="16" customFormat="1" ht="23.1" customHeight="1">
      <c r="A20" s="15">
        <v>12</v>
      </c>
      <c r="B20" s="11" t="s">
        <v>32</v>
      </c>
      <c r="C20" s="12">
        <v>5770353</v>
      </c>
      <c r="D20" s="13">
        <v>11</v>
      </c>
      <c r="E20" s="13">
        <v>11</v>
      </c>
      <c r="F20" s="13">
        <v>10</v>
      </c>
      <c r="G20" s="14">
        <f t="shared" si="2"/>
        <v>28.444444444444446</v>
      </c>
      <c r="H20" s="14">
        <v>10</v>
      </c>
      <c r="I20" s="14">
        <v>17</v>
      </c>
      <c r="J20" s="14">
        <f t="shared" si="3"/>
        <v>27</v>
      </c>
      <c r="K20" s="14">
        <f t="shared" si="4"/>
        <v>55.444444444444443</v>
      </c>
    </row>
    <row r="21" spans="1:11" s="16" customFormat="1" ht="23.1" customHeight="1">
      <c r="A21" s="15">
        <v>13</v>
      </c>
      <c r="B21" s="11" t="s">
        <v>29</v>
      </c>
      <c r="C21" s="12">
        <v>6573692</v>
      </c>
      <c r="D21" s="13">
        <v>13</v>
      </c>
      <c r="E21" s="13">
        <v>12</v>
      </c>
      <c r="F21" s="13">
        <v>11</v>
      </c>
      <c r="G21" s="14">
        <f t="shared" si="2"/>
        <v>32</v>
      </c>
      <c r="H21" s="14">
        <v>14</v>
      </c>
      <c r="I21" s="14">
        <v>16</v>
      </c>
      <c r="J21" s="14">
        <f t="shared" si="3"/>
        <v>30</v>
      </c>
      <c r="K21" s="14">
        <f t="shared" si="4"/>
        <v>62</v>
      </c>
    </row>
    <row r="22" spans="1:11" s="16" customFormat="1" ht="23.1" customHeight="1">
      <c r="A22" s="15">
        <v>14</v>
      </c>
      <c r="B22" s="11" t="s">
        <v>45</v>
      </c>
      <c r="C22" s="12">
        <v>6255906</v>
      </c>
      <c r="D22" s="13">
        <v>15</v>
      </c>
      <c r="E22" s="13">
        <v>15</v>
      </c>
      <c r="F22" s="13">
        <v>15</v>
      </c>
      <c r="G22" s="14">
        <f t="shared" si="2"/>
        <v>40</v>
      </c>
      <c r="H22" s="14"/>
      <c r="I22" s="14" t="s">
        <v>46</v>
      </c>
      <c r="J22" s="14">
        <f t="shared" si="3"/>
        <v>0</v>
      </c>
      <c r="K22" s="14">
        <f t="shared" si="4"/>
        <v>40</v>
      </c>
    </row>
    <row r="23" spans="1:11" s="16" customFormat="1" ht="23.1" customHeight="1">
      <c r="A23" s="15">
        <v>15</v>
      </c>
      <c r="B23" s="11" t="s">
        <v>40</v>
      </c>
      <c r="C23" s="12">
        <v>7790238</v>
      </c>
      <c r="D23" s="13">
        <v>11</v>
      </c>
      <c r="E23" s="13">
        <v>10</v>
      </c>
      <c r="F23" s="13">
        <v>9</v>
      </c>
      <c r="G23" s="14">
        <f t="shared" si="2"/>
        <v>26.666666666666671</v>
      </c>
      <c r="H23" s="14">
        <v>8</v>
      </c>
      <c r="I23" s="14">
        <v>13</v>
      </c>
      <c r="J23" s="14">
        <f t="shared" si="3"/>
        <v>21</v>
      </c>
      <c r="K23" s="14">
        <f t="shared" si="4"/>
        <v>47.666666666666671</v>
      </c>
    </row>
    <row r="24" spans="1:11" s="16" customFormat="1" ht="23.1" customHeight="1">
      <c r="A24" s="15">
        <v>16</v>
      </c>
      <c r="B24" s="11" t="s">
        <v>44</v>
      </c>
      <c r="C24" s="12">
        <v>6194142</v>
      </c>
      <c r="D24" s="13">
        <v>8</v>
      </c>
      <c r="E24" s="13">
        <v>10</v>
      </c>
      <c r="F24" s="13">
        <v>13</v>
      </c>
      <c r="G24" s="14">
        <f t="shared" si="2"/>
        <v>27.555555555555557</v>
      </c>
      <c r="H24" s="14">
        <v>6</v>
      </c>
      <c r="I24" s="14">
        <v>8</v>
      </c>
      <c r="J24" s="14">
        <f t="shared" si="3"/>
        <v>14</v>
      </c>
      <c r="K24" s="14">
        <f t="shared" si="4"/>
        <v>41.555555555555557</v>
      </c>
    </row>
    <row r="25" spans="1:11" s="16" customFormat="1" ht="23.1" customHeight="1">
      <c r="A25" s="15">
        <v>17</v>
      </c>
      <c r="B25" s="11" t="s">
        <v>37</v>
      </c>
      <c r="C25" s="12">
        <v>6529204</v>
      </c>
      <c r="D25" s="13">
        <v>6</v>
      </c>
      <c r="E25" s="13">
        <v>9</v>
      </c>
      <c r="F25" s="13">
        <v>11</v>
      </c>
      <c r="G25" s="14">
        <f t="shared" si="2"/>
        <v>23.111111111111114</v>
      </c>
      <c r="H25" s="14">
        <v>14</v>
      </c>
      <c r="I25" s="14">
        <v>14</v>
      </c>
      <c r="J25" s="14">
        <f t="shared" si="3"/>
        <v>28</v>
      </c>
      <c r="K25" s="14">
        <f t="shared" si="4"/>
        <v>51.111111111111114</v>
      </c>
    </row>
    <row r="26" spans="1:11" s="16" customFormat="1" ht="23.1" customHeight="1">
      <c r="A26" s="15">
        <v>18</v>
      </c>
      <c r="B26" s="11" t="s">
        <v>34</v>
      </c>
      <c r="C26" s="12">
        <v>5481624</v>
      </c>
      <c r="D26" s="13">
        <v>12</v>
      </c>
      <c r="E26" s="13">
        <v>9</v>
      </c>
      <c r="F26" s="13">
        <v>9</v>
      </c>
      <c r="G26" s="14">
        <f t="shared" si="2"/>
        <v>26.666666666666671</v>
      </c>
      <c r="H26" s="14">
        <v>12</v>
      </c>
      <c r="I26" s="14">
        <v>15</v>
      </c>
      <c r="J26" s="14">
        <f t="shared" si="3"/>
        <v>27</v>
      </c>
      <c r="K26" s="14">
        <f t="shared" si="4"/>
        <v>53.666666666666671</v>
      </c>
    </row>
    <row r="27" spans="1:11" s="16" customFormat="1" ht="23.1" customHeight="1">
      <c r="A27" s="15">
        <v>19</v>
      </c>
      <c r="B27" s="11" t="s">
        <v>38</v>
      </c>
      <c r="C27" s="12">
        <v>5495544</v>
      </c>
      <c r="D27" s="13">
        <v>9</v>
      </c>
      <c r="E27" s="13">
        <v>10</v>
      </c>
      <c r="F27" s="13">
        <v>9</v>
      </c>
      <c r="G27" s="14">
        <f t="shared" si="2"/>
        <v>24.888888888888889</v>
      </c>
      <c r="H27" s="14">
        <v>11</v>
      </c>
      <c r="I27" s="14">
        <v>14</v>
      </c>
      <c r="J27" s="14">
        <f t="shared" si="3"/>
        <v>25</v>
      </c>
      <c r="K27" s="14">
        <f t="shared" si="4"/>
        <v>49.888888888888886</v>
      </c>
    </row>
    <row r="28" spans="1:11" s="16" customFormat="1" ht="23.1" customHeight="1">
      <c r="A28" s="15">
        <v>20</v>
      </c>
      <c r="B28" s="11" t="s">
        <v>43</v>
      </c>
      <c r="C28" s="12">
        <v>5880112</v>
      </c>
      <c r="D28" s="13">
        <v>10</v>
      </c>
      <c r="E28" s="13">
        <v>10</v>
      </c>
      <c r="F28" s="13">
        <v>6</v>
      </c>
      <c r="G28" s="14">
        <f t="shared" si="2"/>
        <v>23.111111111111114</v>
      </c>
      <c r="H28" s="14">
        <v>7</v>
      </c>
      <c r="I28" s="14">
        <v>13</v>
      </c>
      <c r="J28" s="14">
        <f t="shared" si="3"/>
        <v>20</v>
      </c>
      <c r="K28" s="14">
        <f t="shared" si="4"/>
        <v>43.111111111111114</v>
      </c>
    </row>
    <row r="29" spans="1:11" s="16" customFormat="1" ht="23.1" customHeight="1">
      <c r="A29" s="15">
        <v>21</v>
      </c>
      <c r="B29" s="11" t="s">
        <v>48</v>
      </c>
      <c r="C29" s="12">
        <v>5871465</v>
      </c>
      <c r="D29" s="13">
        <v>11</v>
      </c>
      <c r="E29" s="13">
        <v>11</v>
      </c>
      <c r="F29" s="13">
        <v>13</v>
      </c>
      <c r="G29" s="14">
        <f t="shared" si="2"/>
        <v>31.111111111111111</v>
      </c>
      <c r="H29" s="14">
        <v>15</v>
      </c>
      <c r="I29" s="14">
        <v>22</v>
      </c>
      <c r="J29" s="14">
        <f t="shared" si="3"/>
        <v>37</v>
      </c>
      <c r="K29" s="14">
        <f t="shared" si="4"/>
        <v>68.111111111111114</v>
      </c>
    </row>
    <row r="30" spans="1:11" s="16" customFormat="1" ht="23.1" customHeight="1">
      <c r="A30" s="15">
        <v>22</v>
      </c>
      <c r="B30" s="11" t="s">
        <v>42</v>
      </c>
      <c r="C30" s="12">
        <v>5679835</v>
      </c>
      <c r="D30" s="13">
        <v>7</v>
      </c>
      <c r="E30" s="13">
        <v>8</v>
      </c>
      <c r="F30" s="13">
        <v>13</v>
      </c>
      <c r="G30" s="14">
        <f t="shared" si="2"/>
        <v>24.888888888888889</v>
      </c>
      <c r="H30" s="14">
        <v>4</v>
      </c>
      <c r="I30" s="14">
        <v>16</v>
      </c>
      <c r="J30" s="14">
        <f t="shared" si="3"/>
        <v>20</v>
      </c>
      <c r="K30" s="14">
        <f t="shared" si="4"/>
        <v>44.888888888888886</v>
      </c>
    </row>
    <row r="31" spans="1:11" s="16" customFormat="1" ht="23.1" customHeight="1">
      <c r="A31" s="15">
        <v>23</v>
      </c>
      <c r="B31" s="11" t="s">
        <v>36</v>
      </c>
      <c r="C31" s="12">
        <v>5659792</v>
      </c>
      <c r="D31" s="13">
        <v>11</v>
      </c>
      <c r="E31" s="13">
        <v>13</v>
      </c>
      <c r="F31" s="13">
        <v>11</v>
      </c>
      <c r="G31" s="14">
        <f t="shared" si="2"/>
        <v>31.111111111111111</v>
      </c>
      <c r="H31" s="14">
        <v>9</v>
      </c>
      <c r="I31" s="14">
        <v>12</v>
      </c>
      <c r="J31" s="14">
        <f t="shared" si="3"/>
        <v>21</v>
      </c>
      <c r="K31" s="14">
        <f t="shared" si="4"/>
        <v>52.111111111111114</v>
      </c>
    </row>
    <row r="32" spans="1:11" s="16" customFormat="1" ht="23.1" customHeight="1">
      <c r="A32" s="15">
        <v>24</v>
      </c>
      <c r="B32" s="11" t="s">
        <v>24</v>
      </c>
      <c r="C32" s="12">
        <v>5725404</v>
      </c>
      <c r="D32" s="13">
        <v>14</v>
      </c>
      <c r="E32" s="13">
        <v>14</v>
      </c>
      <c r="F32" s="13">
        <v>15</v>
      </c>
      <c r="G32" s="14">
        <f t="shared" si="2"/>
        <v>38.222222222222221</v>
      </c>
      <c r="H32" s="14">
        <v>10</v>
      </c>
      <c r="I32" s="14">
        <v>17</v>
      </c>
      <c r="J32" s="14">
        <f t="shared" si="3"/>
        <v>27</v>
      </c>
      <c r="K32" s="14">
        <f t="shared" si="4"/>
        <v>65.222222222222229</v>
      </c>
    </row>
    <row r="33" spans="1:11" s="16" customFormat="1" ht="23.1" customHeight="1">
      <c r="A33" s="15">
        <v>25</v>
      </c>
      <c r="B33" s="11" t="s">
        <v>23</v>
      </c>
      <c r="C33" s="12">
        <v>7679414</v>
      </c>
      <c r="D33" s="13">
        <v>15</v>
      </c>
      <c r="E33" s="13">
        <v>14</v>
      </c>
      <c r="F33" s="13">
        <v>15</v>
      </c>
      <c r="G33" s="14">
        <f t="shared" si="2"/>
        <v>39.111111111111114</v>
      </c>
      <c r="H33" s="14">
        <v>10</v>
      </c>
      <c r="I33" s="14">
        <v>17</v>
      </c>
      <c r="J33" s="14">
        <f t="shared" si="3"/>
        <v>27</v>
      </c>
      <c r="K33" s="14">
        <f t="shared" si="4"/>
        <v>66.111111111111114</v>
      </c>
    </row>
    <row r="34" spans="1:11" s="16" customFormat="1" ht="23.1" customHeight="1">
      <c r="A34" s="15">
        <v>26</v>
      </c>
      <c r="B34" s="11" t="s">
        <v>22</v>
      </c>
      <c r="C34" s="12">
        <v>5782335</v>
      </c>
      <c r="D34" s="13">
        <v>15</v>
      </c>
      <c r="E34" s="13">
        <v>15</v>
      </c>
      <c r="F34" s="13">
        <v>13</v>
      </c>
      <c r="G34" s="14">
        <f t="shared" si="2"/>
        <v>38.222222222222221</v>
      </c>
      <c r="H34" s="14">
        <v>8</v>
      </c>
      <c r="I34" s="14">
        <v>20</v>
      </c>
      <c r="J34" s="14">
        <f t="shared" si="3"/>
        <v>28</v>
      </c>
      <c r="K34" s="14">
        <f t="shared" si="4"/>
        <v>66.222222222222229</v>
      </c>
    </row>
    <row r="35" spans="1:11" s="16" customFormat="1" ht="23.1" customHeight="1">
      <c r="A35" s="15">
        <v>27</v>
      </c>
      <c r="B35" s="11" t="s">
        <v>41</v>
      </c>
      <c r="C35" s="12">
        <v>6054645</v>
      </c>
      <c r="D35" s="13">
        <v>7</v>
      </c>
      <c r="E35" s="13">
        <v>8</v>
      </c>
      <c r="F35" s="13">
        <v>8</v>
      </c>
      <c r="G35" s="14">
        <f t="shared" si="2"/>
        <v>20.444444444444446</v>
      </c>
      <c r="H35" s="14">
        <v>11</v>
      </c>
      <c r="I35" s="14">
        <v>16</v>
      </c>
      <c r="J35" s="14">
        <f t="shared" si="3"/>
        <v>27</v>
      </c>
      <c r="K35" s="14">
        <f t="shared" si="4"/>
        <v>47.444444444444443</v>
      </c>
    </row>
    <row r="36" spans="1:11" s="16" customFormat="1" ht="23.1" customHeight="1">
      <c r="A36" s="15">
        <v>28</v>
      </c>
      <c r="B36" s="11" t="s">
        <v>33</v>
      </c>
      <c r="C36" s="12">
        <v>5866024</v>
      </c>
      <c r="D36" s="13">
        <v>8</v>
      </c>
      <c r="E36" s="13">
        <v>8</v>
      </c>
      <c r="F36" s="13">
        <v>13</v>
      </c>
      <c r="G36" s="14">
        <f t="shared" si="2"/>
        <v>25.777777777777779</v>
      </c>
      <c r="H36" s="14">
        <v>10</v>
      </c>
      <c r="I36" s="14">
        <v>18</v>
      </c>
      <c r="J36" s="14">
        <f t="shared" si="3"/>
        <v>28</v>
      </c>
      <c r="K36" s="14">
        <f t="shared" si="4"/>
        <v>53.777777777777779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topLeftCell="A4" workbookViewId="0">
      <selection activeCell="B47" sqref="B47"/>
    </sheetView>
  </sheetViews>
  <sheetFormatPr baseColWidth="10" defaultRowHeight="15"/>
  <cols>
    <col min="1" max="1" width="3.5703125" customWidth="1"/>
    <col min="2" max="2" width="42.5703125" customWidth="1"/>
    <col min="3" max="3" width="10" bestFit="1" customWidth="1"/>
    <col min="4" max="6" width="5.7109375" customWidth="1"/>
    <col min="7" max="11" width="6.7109375" customWidth="1"/>
  </cols>
  <sheetData>
    <row r="1" spans="1:1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3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3">
      <c r="A4" s="25" t="s">
        <v>19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3" ht="15.75">
      <c r="A5" s="33" t="s">
        <v>17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3" ht="35.1" customHeight="1">
      <c r="A6" s="30" t="s">
        <v>3</v>
      </c>
      <c r="B6" s="30" t="s">
        <v>4</v>
      </c>
      <c r="C6" s="31" t="s">
        <v>5</v>
      </c>
      <c r="D6" s="32" t="s">
        <v>6</v>
      </c>
      <c r="E6" s="32"/>
      <c r="F6" s="32"/>
      <c r="G6" s="20" t="s">
        <v>7</v>
      </c>
      <c r="H6" s="1" t="s">
        <v>8</v>
      </c>
      <c r="I6" s="1" t="s">
        <v>8</v>
      </c>
      <c r="J6" s="20" t="s">
        <v>9</v>
      </c>
      <c r="K6" s="20" t="s">
        <v>10</v>
      </c>
    </row>
    <row r="7" spans="1:13" ht="30" customHeight="1">
      <c r="A7" s="30"/>
      <c r="B7" s="30"/>
      <c r="C7" s="31"/>
      <c r="D7" s="6" t="s">
        <v>11</v>
      </c>
      <c r="E7" s="6" t="s">
        <v>12</v>
      </c>
      <c r="F7" s="6" t="s">
        <v>13</v>
      </c>
      <c r="G7" s="21"/>
      <c r="H7" s="5" t="s">
        <v>14</v>
      </c>
      <c r="I7" s="5" t="s">
        <v>15</v>
      </c>
      <c r="J7" s="21"/>
      <c r="K7" s="21"/>
    </row>
    <row r="8" spans="1:13">
      <c r="A8" s="22" t="s">
        <v>18</v>
      </c>
      <c r="B8" s="23"/>
      <c r="C8" s="24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3" s="16" customFormat="1" ht="23.1" customHeight="1">
      <c r="A9" s="15">
        <v>1</v>
      </c>
      <c r="B9" s="11" t="s">
        <v>74</v>
      </c>
      <c r="C9" s="12">
        <v>6567317</v>
      </c>
      <c r="D9" s="13">
        <v>8</v>
      </c>
      <c r="E9" s="13">
        <v>7</v>
      </c>
      <c r="F9" s="13">
        <v>13</v>
      </c>
      <c r="G9" s="14">
        <f t="shared" ref="G9:G36" si="2">SUM(D9:F9)*100/45*0.4</f>
        <v>24.888888888888889</v>
      </c>
      <c r="H9" s="14">
        <v>15</v>
      </c>
      <c r="I9" s="14">
        <v>17</v>
      </c>
      <c r="J9" s="14">
        <f t="shared" ref="J9:J36" si="3">SUM(H9:I9)</f>
        <v>32</v>
      </c>
      <c r="K9" s="14">
        <f t="shared" ref="K9:K36" si="4">G9+J9</f>
        <v>56.888888888888886</v>
      </c>
    </row>
    <row r="10" spans="1:13" s="16" customFormat="1" ht="23.1" customHeight="1">
      <c r="A10" s="15">
        <v>2</v>
      </c>
      <c r="B10" s="11" t="s">
        <v>60</v>
      </c>
      <c r="C10" s="12">
        <v>5707489</v>
      </c>
      <c r="D10" s="13">
        <v>7</v>
      </c>
      <c r="E10" s="13">
        <v>11</v>
      </c>
      <c r="F10" s="13">
        <v>14</v>
      </c>
      <c r="G10" s="14">
        <f t="shared" si="2"/>
        <v>28.444444444444446</v>
      </c>
      <c r="H10" s="14">
        <v>16</v>
      </c>
      <c r="I10" s="14">
        <v>18</v>
      </c>
      <c r="J10" s="14">
        <f t="shared" si="3"/>
        <v>34</v>
      </c>
      <c r="K10" s="14">
        <f t="shared" si="4"/>
        <v>62.444444444444443</v>
      </c>
    </row>
    <row r="11" spans="1:13" s="16" customFormat="1" ht="23.1" customHeight="1">
      <c r="A11" s="15">
        <v>3</v>
      </c>
      <c r="B11" s="11" t="s">
        <v>50</v>
      </c>
      <c r="C11" s="12">
        <v>5687320</v>
      </c>
      <c r="D11" s="13">
        <v>13</v>
      </c>
      <c r="E11" s="13">
        <v>14</v>
      </c>
      <c r="F11" s="13">
        <v>14</v>
      </c>
      <c r="G11" s="14">
        <f t="shared" si="2"/>
        <v>36.44444444444445</v>
      </c>
      <c r="H11" s="14">
        <v>10</v>
      </c>
      <c r="I11" s="14">
        <v>21</v>
      </c>
      <c r="J11" s="14">
        <f t="shared" si="3"/>
        <v>31</v>
      </c>
      <c r="K11" s="14">
        <f t="shared" si="4"/>
        <v>67.444444444444457</v>
      </c>
    </row>
    <row r="12" spans="1:13" s="16" customFormat="1" ht="23.1" customHeight="1">
      <c r="A12" s="15">
        <v>4</v>
      </c>
      <c r="B12" s="11" t="s">
        <v>68</v>
      </c>
      <c r="C12" s="12">
        <v>6079284</v>
      </c>
      <c r="D12" s="13">
        <v>13</v>
      </c>
      <c r="E12" s="13">
        <v>14</v>
      </c>
      <c r="F12" s="13">
        <v>13</v>
      </c>
      <c r="G12" s="14">
        <f t="shared" si="2"/>
        <v>35.555555555555557</v>
      </c>
      <c r="H12" s="14">
        <v>11</v>
      </c>
      <c r="I12" s="14">
        <v>13</v>
      </c>
      <c r="J12" s="14">
        <f t="shared" si="3"/>
        <v>24</v>
      </c>
      <c r="K12" s="14">
        <f t="shared" si="4"/>
        <v>59.555555555555557</v>
      </c>
      <c r="M12" s="18"/>
    </row>
    <row r="13" spans="1:13" s="16" customFormat="1" ht="23.1" customHeight="1">
      <c r="A13" s="15">
        <v>5</v>
      </c>
      <c r="B13" s="11" t="s">
        <v>62</v>
      </c>
      <c r="C13" s="12">
        <v>6252631</v>
      </c>
      <c r="D13" s="13">
        <v>15</v>
      </c>
      <c r="E13" s="13">
        <v>14</v>
      </c>
      <c r="F13" s="13">
        <v>15</v>
      </c>
      <c r="G13" s="14">
        <f t="shared" si="2"/>
        <v>39.111111111111114</v>
      </c>
      <c r="H13" s="14">
        <v>9</v>
      </c>
      <c r="I13" s="14">
        <v>14</v>
      </c>
      <c r="J13" s="14">
        <f t="shared" si="3"/>
        <v>23</v>
      </c>
      <c r="K13" s="14">
        <f t="shared" si="4"/>
        <v>62.111111111111114</v>
      </c>
      <c r="M13"/>
    </row>
    <row r="14" spans="1:13" s="16" customFormat="1" ht="23.1" customHeight="1">
      <c r="A14" s="15">
        <v>6</v>
      </c>
      <c r="B14" s="11" t="s">
        <v>49</v>
      </c>
      <c r="C14" s="12">
        <v>5596544</v>
      </c>
      <c r="D14" s="13">
        <v>13</v>
      </c>
      <c r="E14" s="13">
        <v>13</v>
      </c>
      <c r="F14" s="13">
        <v>14</v>
      </c>
      <c r="G14" s="14">
        <f t="shared" si="2"/>
        <v>35.555555555555557</v>
      </c>
      <c r="H14" s="14">
        <v>14</v>
      </c>
      <c r="I14" s="14">
        <v>18</v>
      </c>
      <c r="J14" s="14">
        <f t="shared" si="3"/>
        <v>32</v>
      </c>
      <c r="K14" s="14">
        <f t="shared" si="4"/>
        <v>67.555555555555557</v>
      </c>
      <c r="M14" s="18"/>
    </row>
    <row r="15" spans="1:13" s="16" customFormat="1" ht="23.1" customHeight="1">
      <c r="A15" s="15">
        <v>7</v>
      </c>
      <c r="B15" s="11" t="s">
        <v>53</v>
      </c>
      <c r="C15" s="12">
        <v>6246147</v>
      </c>
      <c r="D15" s="13">
        <v>15</v>
      </c>
      <c r="E15" s="13">
        <v>15</v>
      </c>
      <c r="F15" s="13">
        <v>15</v>
      </c>
      <c r="G15" s="14">
        <f t="shared" si="2"/>
        <v>40</v>
      </c>
      <c r="H15" s="14">
        <v>8</v>
      </c>
      <c r="I15" s="14">
        <v>18</v>
      </c>
      <c r="J15" s="14">
        <f t="shared" si="3"/>
        <v>26</v>
      </c>
      <c r="K15" s="14">
        <f t="shared" si="4"/>
        <v>66</v>
      </c>
      <c r="M15" s="19"/>
    </row>
    <row r="16" spans="1:13" s="16" customFormat="1" ht="23.1" customHeight="1">
      <c r="A16" s="15">
        <v>8</v>
      </c>
      <c r="B16" s="11" t="s">
        <v>54</v>
      </c>
      <c r="C16" s="12">
        <v>5938647</v>
      </c>
      <c r="D16" s="13">
        <v>12</v>
      </c>
      <c r="E16" s="13">
        <v>11</v>
      </c>
      <c r="F16" s="13">
        <v>14</v>
      </c>
      <c r="G16" s="14">
        <f t="shared" si="2"/>
        <v>32.888888888888893</v>
      </c>
      <c r="H16" s="14">
        <v>11</v>
      </c>
      <c r="I16" s="14">
        <v>22</v>
      </c>
      <c r="J16" s="14">
        <f t="shared" si="3"/>
        <v>33</v>
      </c>
      <c r="K16" s="14">
        <f t="shared" si="4"/>
        <v>65.888888888888886</v>
      </c>
    </row>
    <row r="17" spans="1:11" s="16" customFormat="1" ht="23.1" customHeight="1">
      <c r="A17" s="15">
        <v>9</v>
      </c>
      <c r="B17" s="11" t="s">
        <v>61</v>
      </c>
      <c r="C17" s="12">
        <v>5706825</v>
      </c>
      <c r="D17" s="13">
        <v>12</v>
      </c>
      <c r="E17" s="13">
        <v>12</v>
      </c>
      <c r="F17" s="13">
        <v>11</v>
      </c>
      <c r="G17" s="14">
        <f t="shared" si="2"/>
        <v>31.111111111111111</v>
      </c>
      <c r="H17" s="14">
        <v>9</v>
      </c>
      <c r="I17" s="14">
        <v>22</v>
      </c>
      <c r="J17" s="14">
        <f t="shared" si="3"/>
        <v>31</v>
      </c>
      <c r="K17" s="14">
        <f t="shared" si="4"/>
        <v>62.111111111111114</v>
      </c>
    </row>
    <row r="18" spans="1:11" s="16" customFormat="1" ht="23.1" customHeight="1">
      <c r="A18" s="15">
        <v>10</v>
      </c>
      <c r="B18" s="11" t="s">
        <v>59</v>
      </c>
      <c r="C18" s="12">
        <v>5719839</v>
      </c>
      <c r="D18" s="13">
        <v>13</v>
      </c>
      <c r="E18" s="13">
        <v>14</v>
      </c>
      <c r="F18" s="13">
        <v>12</v>
      </c>
      <c r="G18" s="14">
        <f t="shared" si="2"/>
        <v>34.666666666666671</v>
      </c>
      <c r="H18" s="14">
        <v>8</v>
      </c>
      <c r="I18" s="14">
        <v>20</v>
      </c>
      <c r="J18" s="14">
        <f t="shared" si="3"/>
        <v>28</v>
      </c>
      <c r="K18" s="14">
        <f t="shared" si="4"/>
        <v>62.666666666666671</v>
      </c>
    </row>
    <row r="19" spans="1:11" s="16" customFormat="1" ht="23.1" customHeight="1">
      <c r="A19" s="15">
        <v>11</v>
      </c>
      <c r="B19" s="11" t="s">
        <v>65</v>
      </c>
      <c r="C19" s="12">
        <v>5648100</v>
      </c>
      <c r="D19" s="13">
        <v>9</v>
      </c>
      <c r="E19" s="13">
        <v>12</v>
      </c>
      <c r="F19" s="13">
        <v>15</v>
      </c>
      <c r="G19" s="14">
        <f t="shared" si="2"/>
        <v>32</v>
      </c>
      <c r="H19" s="14">
        <v>14</v>
      </c>
      <c r="I19" s="14">
        <v>15</v>
      </c>
      <c r="J19" s="14">
        <f t="shared" si="3"/>
        <v>29</v>
      </c>
      <c r="K19" s="14">
        <f t="shared" si="4"/>
        <v>61</v>
      </c>
    </row>
    <row r="20" spans="1:11" s="16" customFormat="1" ht="23.1" customHeight="1">
      <c r="A20" s="15">
        <v>12</v>
      </c>
      <c r="B20" s="11" t="s">
        <v>66</v>
      </c>
      <c r="C20" s="12">
        <v>7327682</v>
      </c>
      <c r="D20" s="13">
        <v>12</v>
      </c>
      <c r="E20" s="13">
        <v>13</v>
      </c>
      <c r="F20" s="13">
        <v>14</v>
      </c>
      <c r="G20" s="14">
        <f t="shared" si="2"/>
        <v>34.666666666666671</v>
      </c>
      <c r="H20" s="14">
        <v>12</v>
      </c>
      <c r="I20" s="14">
        <v>14</v>
      </c>
      <c r="J20" s="14">
        <f t="shared" si="3"/>
        <v>26</v>
      </c>
      <c r="K20" s="14">
        <f t="shared" si="4"/>
        <v>60.666666666666671</v>
      </c>
    </row>
    <row r="21" spans="1:11" s="16" customFormat="1" ht="23.1" customHeight="1">
      <c r="A21" s="15">
        <v>13</v>
      </c>
      <c r="B21" s="11" t="s">
        <v>72</v>
      </c>
      <c r="C21" s="12">
        <v>5771010</v>
      </c>
      <c r="D21" s="13">
        <v>10</v>
      </c>
      <c r="E21" s="13">
        <v>8</v>
      </c>
      <c r="F21" s="13">
        <v>13</v>
      </c>
      <c r="G21" s="14">
        <f t="shared" si="2"/>
        <v>27.555555555555557</v>
      </c>
      <c r="H21" s="14">
        <v>12</v>
      </c>
      <c r="I21" s="14">
        <v>18</v>
      </c>
      <c r="J21" s="14">
        <f t="shared" si="3"/>
        <v>30</v>
      </c>
      <c r="K21" s="14">
        <f t="shared" si="4"/>
        <v>57.555555555555557</v>
      </c>
    </row>
    <row r="22" spans="1:11" s="16" customFormat="1" ht="23.1" customHeight="1">
      <c r="A22" s="15">
        <v>14</v>
      </c>
      <c r="B22" s="11" t="s">
        <v>73</v>
      </c>
      <c r="C22" s="12">
        <v>6325441</v>
      </c>
      <c r="D22" s="13">
        <v>13</v>
      </c>
      <c r="E22" s="13">
        <v>11</v>
      </c>
      <c r="F22" s="13">
        <v>12</v>
      </c>
      <c r="G22" s="14">
        <f t="shared" si="2"/>
        <v>32</v>
      </c>
      <c r="H22" s="14">
        <v>11</v>
      </c>
      <c r="I22" s="14">
        <v>14</v>
      </c>
      <c r="J22" s="14">
        <f t="shared" si="3"/>
        <v>25</v>
      </c>
      <c r="K22" s="14">
        <f t="shared" si="4"/>
        <v>57</v>
      </c>
    </row>
    <row r="23" spans="1:11" s="16" customFormat="1" ht="23.1" customHeight="1">
      <c r="A23" s="15">
        <v>15</v>
      </c>
      <c r="B23" s="11" t="s">
        <v>75</v>
      </c>
      <c r="C23" s="12">
        <v>5612620</v>
      </c>
      <c r="D23" s="13">
        <v>11</v>
      </c>
      <c r="E23" s="13">
        <v>11</v>
      </c>
      <c r="F23" s="13">
        <v>12</v>
      </c>
      <c r="G23" s="14">
        <f t="shared" si="2"/>
        <v>30.222222222222225</v>
      </c>
      <c r="H23" s="14">
        <v>8</v>
      </c>
      <c r="I23" s="14">
        <v>18</v>
      </c>
      <c r="J23" s="14">
        <f t="shared" si="3"/>
        <v>26</v>
      </c>
      <c r="K23" s="14">
        <f t="shared" si="4"/>
        <v>56.222222222222229</v>
      </c>
    </row>
    <row r="24" spans="1:11" s="16" customFormat="1" ht="23.1" customHeight="1">
      <c r="A24" s="15">
        <v>16</v>
      </c>
      <c r="B24" s="11" t="s">
        <v>63</v>
      </c>
      <c r="C24" s="12">
        <v>5434154</v>
      </c>
      <c r="D24" s="13">
        <v>13</v>
      </c>
      <c r="E24" s="13">
        <v>12</v>
      </c>
      <c r="F24" s="13">
        <v>15</v>
      </c>
      <c r="G24" s="14">
        <f t="shared" si="2"/>
        <v>35.555555555555557</v>
      </c>
      <c r="H24" s="14">
        <v>8</v>
      </c>
      <c r="I24" s="14">
        <v>18</v>
      </c>
      <c r="J24" s="14">
        <f t="shared" si="3"/>
        <v>26</v>
      </c>
      <c r="K24" s="14">
        <f t="shared" si="4"/>
        <v>61.555555555555557</v>
      </c>
    </row>
    <row r="25" spans="1:11" s="16" customFormat="1" ht="23.1" customHeight="1">
      <c r="A25" s="15">
        <v>17</v>
      </c>
      <c r="B25" s="11" t="s">
        <v>56</v>
      </c>
      <c r="C25" s="12">
        <v>5689955</v>
      </c>
      <c r="D25" s="13">
        <v>15</v>
      </c>
      <c r="E25" s="13">
        <v>14</v>
      </c>
      <c r="F25" s="13">
        <v>8</v>
      </c>
      <c r="G25" s="14">
        <f t="shared" si="2"/>
        <v>32.888888888888893</v>
      </c>
      <c r="H25" s="14">
        <v>12</v>
      </c>
      <c r="I25" s="14">
        <v>19</v>
      </c>
      <c r="J25" s="14">
        <f t="shared" si="3"/>
        <v>31</v>
      </c>
      <c r="K25" s="14">
        <f t="shared" si="4"/>
        <v>63.888888888888893</v>
      </c>
    </row>
    <row r="26" spans="1:11" s="16" customFormat="1" ht="23.1" customHeight="1">
      <c r="A26" s="15">
        <v>18</v>
      </c>
      <c r="B26" s="11" t="s">
        <v>51</v>
      </c>
      <c r="C26" s="12">
        <v>5867590</v>
      </c>
      <c r="D26" s="13">
        <v>9</v>
      </c>
      <c r="E26" s="13">
        <v>10</v>
      </c>
      <c r="F26" s="13">
        <v>14</v>
      </c>
      <c r="G26" s="14">
        <f t="shared" si="2"/>
        <v>29.333333333333332</v>
      </c>
      <c r="H26" s="14">
        <v>17</v>
      </c>
      <c r="I26" s="14">
        <v>21</v>
      </c>
      <c r="J26" s="14">
        <f t="shared" si="3"/>
        <v>38</v>
      </c>
      <c r="K26" s="14">
        <f t="shared" si="4"/>
        <v>67.333333333333329</v>
      </c>
    </row>
    <row r="27" spans="1:11" s="16" customFormat="1" ht="23.1" customHeight="1">
      <c r="A27" s="15">
        <v>19</v>
      </c>
      <c r="B27" s="11" t="s">
        <v>69</v>
      </c>
      <c r="C27" s="12">
        <v>7637042</v>
      </c>
      <c r="D27" s="13">
        <v>11</v>
      </c>
      <c r="E27" s="13">
        <v>9</v>
      </c>
      <c r="F27" s="13">
        <v>10</v>
      </c>
      <c r="G27" s="14">
        <f t="shared" si="2"/>
        <v>26.666666666666671</v>
      </c>
      <c r="H27" s="14">
        <v>13</v>
      </c>
      <c r="I27" s="14">
        <v>19</v>
      </c>
      <c r="J27" s="14">
        <f t="shared" si="3"/>
        <v>32</v>
      </c>
      <c r="K27" s="14">
        <f t="shared" si="4"/>
        <v>58.666666666666671</v>
      </c>
    </row>
    <row r="28" spans="1:11" s="16" customFormat="1" ht="23.1" customHeight="1">
      <c r="A28" s="15">
        <v>20</v>
      </c>
      <c r="B28" s="11" t="s">
        <v>76</v>
      </c>
      <c r="C28" s="12">
        <v>5649239</v>
      </c>
      <c r="D28" s="13">
        <v>13</v>
      </c>
      <c r="E28" s="13">
        <v>12</v>
      </c>
      <c r="F28" s="13">
        <v>13</v>
      </c>
      <c r="G28" s="14">
        <f t="shared" si="2"/>
        <v>33.777777777777779</v>
      </c>
      <c r="H28" s="14">
        <v>9</v>
      </c>
      <c r="I28" s="14">
        <v>13</v>
      </c>
      <c r="J28" s="14">
        <f t="shared" si="3"/>
        <v>22</v>
      </c>
      <c r="K28" s="14">
        <f t="shared" si="4"/>
        <v>55.777777777777779</v>
      </c>
    </row>
    <row r="29" spans="1:11" s="16" customFormat="1" ht="23.1" customHeight="1">
      <c r="A29" s="15">
        <v>21</v>
      </c>
      <c r="B29" s="11" t="s">
        <v>64</v>
      </c>
      <c r="C29" s="12">
        <v>5557990</v>
      </c>
      <c r="D29" s="13">
        <v>10</v>
      </c>
      <c r="E29" s="13">
        <v>12</v>
      </c>
      <c r="F29" s="13">
        <v>12</v>
      </c>
      <c r="G29" s="14">
        <f t="shared" si="2"/>
        <v>30.222222222222225</v>
      </c>
      <c r="H29" s="14">
        <v>15</v>
      </c>
      <c r="I29" s="14">
        <v>16</v>
      </c>
      <c r="J29" s="14">
        <f t="shared" si="3"/>
        <v>31</v>
      </c>
      <c r="K29" s="14">
        <f t="shared" si="4"/>
        <v>61.222222222222229</v>
      </c>
    </row>
    <row r="30" spans="1:11" s="16" customFormat="1" ht="23.1" customHeight="1">
      <c r="A30" s="15">
        <v>22</v>
      </c>
      <c r="B30" s="11" t="s">
        <v>57</v>
      </c>
      <c r="C30" s="12">
        <v>5725074</v>
      </c>
      <c r="D30" s="13">
        <v>11</v>
      </c>
      <c r="E30" s="13">
        <v>12</v>
      </c>
      <c r="F30" s="13">
        <v>13</v>
      </c>
      <c r="G30" s="14">
        <f t="shared" si="2"/>
        <v>32</v>
      </c>
      <c r="H30" s="14">
        <v>12</v>
      </c>
      <c r="I30" s="14">
        <v>19</v>
      </c>
      <c r="J30" s="14">
        <f t="shared" si="3"/>
        <v>31</v>
      </c>
      <c r="K30" s="14">
        <f t="shared" si="4"/>
        <v>63</v>
      </c>
    </row>
    <row r="31" spans="1:11" s="16" customFormat="1" ht="23.1" customHeight="1">
      <c r="A31" s="15">
        <v>23</v>
      </c>
      <c r="B31" s="11" t="s">
        <v>70</v>
      </c>
      <c r="C31" s="12">
        <v>5983008</v>
      </c>
      <c r="D31" s="13">
        <v>9</v>
      </c>
      <c r="E31" s="13">
        <v>8</v>
      </c>
      <c r="F31" s="13">
        <v>10</v>
      </c>
      <c r="G31" s="14">
        <f t="shared" si="2"/>
        <v>24</v>
      </c>
      <c r="H31" s="14">
        <v>14</v>
      </c>
      <c r="I31" s="14">
        <v>20</v>
      </c>
      <c r="J31" s="14">
        <f t="shared" si="3"/>
        <v>34</v>
      </c>
      <c r="K31" s="14">
        <f t="shared" si="4"/>
        <v>58</v>
      </c>
    </row>
    <row r="32" spans="1:11" s="16" customFormat="1" ht="23.1" customHeight="1">
      <c r="A32" s="15">
        <v>24</v>
      </c>
      <c r="B32" s="11" t="s">
        <v>58</v>
      </c>
      <c r="C32" s="12">
        <v>5540490</v>
      </c>
      <c r="D32" s="13">
        <v>12</v>
      </c>
      <c r="E32" s="13">
        <v>13</v>
      </c>
      <c r="F32" s="13">
        <v>14</v>
      </c>
      <c r="G32" s="14">
        <f t="shared" si="2"/>
        <v>34.666666666666671</v>
      </c>
      <c r="H32" s="14">
        <v>12</v>
      </c>
      <c r="I32" s="14">
        <v>16</v>
      </c>
      <c r="J32" s="14">
        <f t="shared" si="3"/>
        <v>28</v>
      </c>
      <c r="K32" s="14">
        <f t="shared" si="4"/>
        <v>62.666666666666671</v>
      </c>
    </row>
    <row r="33" spans="1:12" s="16" customFormat="1" ht="23.1" customHeight="1">
      <c r="A33" s="15">
        <v>25</v>
      </c>
      <c r="B33" s="11" t="s">
        <v>67</v>
      </c>
      <c r="C33" s="12">
        <v>6012267</v>
      </c>
      <c r="D33" s="13">
        <v>10</v>
      </c>
      <c r="E33" s="13">
        <v>10</v>
      </c>
      <c r="F33" s="13">
        <v>13</v>
      </c>
      <c r="G33" s="14">
        <f t="shared" si="2"/>
        <v>29.333333333333332</v>
      </c>
      <c r="H33" s="14">
        <v>13</v>
      </c>
      <c r="I33" s="14">
        <v>18</v>
      </c>
      <c r="J33" s="14">
        <f t="shared" si="3"/>
        <v>31</v>
      </c>
      <c r="K33" s="14">
        <f t="shared" si="4"/>
        <v>60.333333333333329</v>
      </c>
    </row>
    <row r="34" spans="1:12" s="16" customFormat="1" ht="23.1" customHeight="1">
      <c r="A34" s="15">
        <v>26</v>
      </c>
      <c r="B34" s="11" t="s">
        <v>52</v>
      </c>
      <c r="C34" s="12">
        <v>6152959</v>
      </c>
      <c r="D34" s="13">
        <v>14</v>
      </c>
      <c r="E34" s="13">
        <v>15</v>
      </c>
      <c r="F34" s="13">
        <v>12</v>
      </c>
      <c r="G34" s="14">
        <f t="shared" si="2"/>
        <v>36.44444444444445</v>
      </c>
      <c r="H34" s="14">
        <v>10</v>
      </c>
      <c r="I34" s="14">
        <v>20</v>
      </c>
      <c r="J34" s="14">
        <f t="shared" si="3"/>
        <v>30</v>
      </c>
      <c r="K34" s="14">
        <f t="shared" si="4"/>
        <v>66.444444444444457</v>
      </c>
    </row>
    <row r="35" spans="1:12" s="16" customFormat="1" ht="23.1" customHeight="1">
      <c r="A35" s="15">
        <v>27</v>
      </c>
      <c r="B35" s="11" t="s">
        <v>71</v>
      </c>
      <c r="C35" s="12">
        <v>5528974</v>
      </c>
      <c r="D35" s="13">
        <v>10</v>
      </c>
      <c r="E35" s="13">
        <v>14</v>
      </c>
      <c r="F35" s="13">
        <v>13</v>
      </c>
      <c r="G35" s="14">
        <f t="shared" si="2"/>
        <v>32.888888888888893</v>
      </c>
      <c r="H35" s="14">
        <v>9</v>
      </c>
      <c r="I35" s="14">
        <v>16</v>
      </c>
      <c r="J35" s="14">
        <f t="shared" si="3"/>
        <v>25</v>
      </c>
      <c r="K35" s="14">
        <f t="shared" si="4"/>
        <v>57.888888888888893</v>
      </c>
      <c r="L35" s="17"/>
    </row>
    <row r="36" spans="1:12" s="16" customFormat="1" ht="23.1" customHeight="1">
      <c r="A36" s="15">
        <v>28</v>
      </c>
      <c r="B36" s="11" t="s">
        <v>55</v>
      </c>
      <c r="C36" s="12">
        <v>5438574</v>
      </c>
      <c r="D36" s="13">
        <v>15</v>
      </c>
      <c r="E36" s="13">
        <v>15</v>
      </c>
      <c r="F36" s="13">
        <v>15</v>
      </c>
      <c r="G36" s="14">
        <f t="shared" si="2"/>
        <v>40</v>
      </c>
      <c r="H36" s="14">
        <v>7</v>
      </c>
      <c r="I36" s="14">
        <v>17</v>
      </c>
      <c r="J36" s="14">
        <f t="shared" si="3"/>
        <v>24</v>
      </c>
      <c r="K36" s="14">
        <f t="shared" si="4"/>
        <v>64</v>
      </c>
      <c r="L36" s="17"/>
    </row>
    <row r="37" spans="1:1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MCG (1)</vt:lpstr>
      <vt:lpstr>MCG(2)</vt:lpstr>
      <vt:lpstr>'MCG (1)'!Títulos_a_imprimir</vt:lpstr>
      <vt:lpstr>'MCG(2)'!Títulos_a_imprimir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2021-03-08T22:20:35Z</dcterms:modified>
</cp:coreProperties>
</file>