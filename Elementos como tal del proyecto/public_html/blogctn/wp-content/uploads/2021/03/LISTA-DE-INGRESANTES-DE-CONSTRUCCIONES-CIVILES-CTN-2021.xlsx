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ocuments\"/>
    </mc:Choice>
  </mc:AlternateContent>
  <bookViews>
    <workbookView xWindow="240" yWindow="75" windowWidth="20055" windowHeight="7935" tabRatio="924" activeTab="2"/>
  </bookViews>
  <sheets>
    <sheet name="CC (1)" sheetId="60" r:id="rId1"/>
    <sheet name="CC (2)" sheetId="59" r:id="rId2"/>
    <sheet name="CC(3)" sheetId="37" r:id="rId3"/>
  </sheets>
  <definedNames>
    <definedName name="_xlnm.Print_Titles" localSheetId="0">'CC (1)'!$1:$8</definedName>
    <definedName name="_xlnm.Print_Titles" localSheetId="1">'CC (2)'!$1:$8</definedName>
    <definedName name="_xlnm.Print_Titles" localSheetId="2">'CC(3)'!$1:$8</definedName>
  </definedNames>
  <calcPr calcId="152511"/>
  <fileRecoveryPr autoRecover="0"/>
</workbook>
</file>

<file path=xl/calcChain.xml><?xml version="1.0" encoding="utf-8"?>
<calcChain xmlns="http://schemas.openxmlformats.org/spreadsheetml/2006/main">
  <c r="J36" i="37" l="1"/>
  <c r="G36" i="37"/>
  <c r="K36" i="37" s="1"/>
  <c r="J35" i="37"/>
  <c r="G35" i="37"/>
  <c r="K35" i="37" s="1"/>
  <c r="J34" i="37"/>
  <c r="G34" i="37"/>
  <c r="K34" i="37" s="1"/>
  <c r="J30" i="37"/>
  <c r="G30" i="37"/>
  <c r="J9" i="37"/>
  <c r="G9" i="37"/>
  <c r="J10" i="37"/>
  <c r="G10" i="37"/>
  <c r="J24" i="37"/>
  <c r="G24" i="37"/>
  <c r="J31" i="37"/>
  <c r="G31" i="37"/>
  <c r="J27" i="37"/>
  <c r="G27" i="37"/>
  <c r="J25" i="37"/>
  <c r="G25" i="37"/>
  <c r="J26" i="37"/>
  <c r="G26" i="37"/>
  <c r="J20" i="37"/>
  <c r="G20" i="37"/>
  <c r="J14" i="37"/>
  <c r="G14" i="37"/>
  <c r="J23" i="37"/>
  <c r="G23" i="37"/>
  <c r="J21" i="37"/>
  <c r="G21" i="37"/>
  <c r="J11" i="37"/>
  <c r="G11" i="37"/>
  <c r="J22" i="37"/>
  <c r="G22" i="37"/>
  <c r="J17" i="37"/>
  <c r="G17" i="37"/>
  <c r="J19" i="37"/>
  <c r="G19" i="37"/>
  <c r="J18" i="37"/>
  <c r="G18" i="37"/>
  <c r="J29" i="37"/>
  <c r="G29" i="37"/>
  <c r="J33" i="37"/>
  <c r="G33" i="37"/>
  <c r="J28" i="37"/>
  <c r="G28" i="37"/>
  <c r="J16" i="37"/>
  <c r="G16" i="37"/>
  <c r="J15" i="37"/>
  <c r="G15" i="37"/>
  <c r="J13" i="37"/>
  <c r="G13" i="37"/>
  <c r="J32" i="37"/>
  <c r="G32" i="37"/>
  <c r="J12" i="37"/>
  <c r="G12" i="37"/>
  <c r="J15" i="59"/>
  <c r="G15" i="59"/>
  <c r="K15" i="59" s="1"/>
  <c r="J27" i="59"/>
  <c r="G27" i="59"/>
  <c r="K27" i="59" s="1"/>
  <c r="J24" i="59"/>
  <c r="G24" i="59"/>
  <c r="K24" i="59" s="1"/>
  <c r="J26" i="59"/>
  <c r="G26" i="59"/>
  <c r="K26" i="59" s="1"/>
  <c r="J13" i="59"/>
  <c r="G13" i="59"/>
  <c r="K13" i="59" s="1"/>
  <c r="J29" i="59"/>
  <c r="G29" i="59"/>
  <c r="K29" i="59" s="1"/>
  <c r="J28" i="59"/>
  <c r="G28" i="59"/>
  <c r="K28" i="59" s="1"/>
  <c r="J16" i="59"/>
  <c r="G16" i="59"/>
  <c r="K16" i="59" s="1"/>
  <c r="J32" i="59"/>
  <c r="G32" i="59"/>
  <c r="K32" i="59" s="1"/>
  <c r="J19" i="59"/>
  <c r="G19" i="59"/>
  <c r="K19" i="59" s="1"/>
  <c r="J25" i="59"/>
  <c r="G25" i="59"/>
  <c r="K25" i="59" s="1"/>
  <c r="J21" i="59"/>
  <c r="G21" i="59"/>
  <c r="K21" i="59" s="1"/>
  <c r="J12" i="59"/>
  <c r="G12" i="59"/>
  <c r="K12" i="59" s="1"/>
  <c r="J10" i="59"/>
  <c r="G10" i="59"/>
  <c r="K10" i="59" s="1"/>
  <c r="J30" i="59"/>
  <c r="G30" i="59"/>
  <c r="K30" i="59" s="1"/>
  <c r="J9" i="59"/>
  <c r="G9" i="59"/>
  <c r="K9" i="59" s="1"/>
  <c r="J17" i="59"/>
  <c r="G17" i="59"/>
  <c r="K17" i="59" s="1"/>
  <c r="J11" i="59"/>
  <c r="G11" i="59"/>
  <c r="K11" i="59" s="1"/>
  <c r="J31" i="59"/>
  <c r="G31" i="59"/>
  <c r="K31" i="59" s="1"/>
  <c r="J18" i="59"/>
  <c r="G18" i="59"/>
  <c r="K18" i="59" s="1"/>
  <c r="J14" i="59"/>
  <c r="G14" i="59"/>
  <c r="K14" i="59" s="1"/>
  <c r="J35" i="59"/>
  <c r="G35" i="59"/>
  <c r="K35" i="59" s="1"/>
  <c r="J36" i="59"/>
  <c r="G36" i="59"/>
  <c r="K36" i="59" s="1"/>
  <c r="J33" i="59"/>
  <c r="G33" i="59"/>
  <c r="K33" i="59" s="1"/>
  <c r="J23" i="59"/>
  <c r="G23" i="59"/>
  <c r="K23" i="59" s="1"/>
  <c r="J22" i="59"/>
  <c r="G22" i="59"/>
  <c r="K22" i="59" s="1"/>
  <c r="J34" i="59"/>
  <c r="G34" i="59"/>
  <c r="K34" i="59" s="1"/>
  <c r="J20" i="59"/>
  <c r="G20" i="59"/>
  <c r="K20" i="59" s="1"/>
  <c r="J28" i="60"/>
  <c r="G28" i="60"/>
  <c r="J33" i="60"/>
  <c r="G33" i="60"/>
  <c r="J22" i="60"/>
  <c r="G22" i="60"/>
  <c r="J11" i="60"/>
  <c r="G11" i="60"/>
  <c r="J32" i="60"/>
  <c r="G32" i="60"/>
  <c r="J27" i="60"/>
  <c r="G27" i="60"/>
  <c r="J19" i="60"/>
  <c r="G19" i="60"/>
  <c r="J10" i="60"/>
  <c r="G10" i="60"/>
  <c r="J23" i="60"/>
  <c r="G23" i="60"/>
  <c r="J20" i="60"/>
  <c r="G20" i="60"/>
  <c r="J15" i="60"/>
  <c r="G15" i="60"/>
  <c r="J24" i="60"/>
  <c r="G24" i="60"/>
  <c r="J21" i="60"/>
  <c r="G21" i="60"/>
  <c r="J17" i="60"/>
  <c r="G17" i="60"/>
  <c r="J9" i="60"/>
  <c r="G9" i="60"/>
  <c r="J16" i="60"/>
  <c r="G16" i="60"/>
  <c r="J36" i="60"/>
  <c r="G36" i="60"/>
  <c r="J35" i="60"/>
  <c r="G35" i="60"/>
  <c r="J18" i="60"/>
  <c r="G18" i="60"/>
  <c r="J12" i="60"/>
  <c r="G12" i="60"/>
  <c r="J31" i="60"/>
  <c r="G31" i="60"/>
  <c r="J34" i="60"/>
  <c r="G34" i="60"/>
  <c r="J29" i="60"/>
  <c r="G29" i="60"/>
  <c r="J25" i="60"/>
  <c r="G25" i="60"/>
  <c r="J13" i="60"/>
  <c r="G13" i="60"/>
  <c r="J30" i="60"/>
  <c r="G30" i="60"/>
  <c r="J14" i="60"/>
  <c r="G14" i="60"/>
  <c r="J26" i="60"/>
  <c r="G26" i="60"/>
  <c r="K12" i="37" l="1"/>
  <c r="K32" i="37"/>
  <c r="K13" i="37"/>
  <c r="K15" i="37"/>
  <c r="K16" i="37"/>
  <c r="K28" i="37"/>
  <c r="K33" i="37"/>
  <c r="K29" i="37"/>
  <c r="K18" i="37"/>
  <c r="K19" i="37"/>
  <c r="K17" i="37"/>
  <c r="K22" i="37"/>
  <c r="K11" i="37"/>
  <c r="K21" i="37"/>
  <c r="K23" i="37"/>
  <c r="K14" i="37"/>
  <c r="K20" i="37"/>
  <c r="K26" i="37"/>
  <c r="K25" i="37"/>
  <c r="K27" i="37"/>
  <c r="K31" i="37"/>
  <c r="K24" i="37"/>
  <c r="K10" i="37"/>
  <c r="K9" i="37"/>
  <c r="K30" i="37"/>
  <c r="K26" i="60"/>
  <c r="K14" i="60"/>
  <c r="K30" i="60"/>
  <c r="K13" i="60"/>
  <c r="K25" i="60"/>
  <c r="K29" i="60"/>
  <c r="K34" i="60"/>
  <c r="K31" i="60"/>
  <c r="K12" i="60"/>
  <c r="K18" i="60"/>
  <c r="K35" i="60"/>
  <c r="K36" i="60"/>
  <c r="K16" i="60"/>
  <c r="K9" i="60"/>
  <c r="K17" i="60"/>
  <c r="K21" i="60"/>
  <c r="K24" i="60"/>
  <c r="K15" i="60"/>
  <c r="K20" i="60"/>
  <c r="K23" i="60"/>
  <c r="K10" i="60"/>
  <c r="K19" i="60"/>
  <c r="K27" i="60"/>
  <c r="K32" i="60"/>
  <c r="K11" i="60"/>
  <c r="K22" i="60"/>
  <c r="K33" i="60"/>
  <c r="K28" i="60"/>
  <c r="J8" i="60"/>
  <c r="G8" i="60"/>
  <c r="J8" i="59"/>
  <c r="G8" i="59"/>
  <c r="J8" i="37"/>
  <c r="G8" i="37"/>
  <c r="K8" i="37" l="1"/>
  <c r="K8" i="60"/>
  <c r="K8" i="59"/>
</calcChain>
</file>

<file path=xl/sharedStrings.xml><?xml version="1.0" encoding="utf-8"?>
<sst xmlns="http://schemas.openxmlformats.org/spreadsheetml/2006/main" count="142" uniqueCount="106">
  <si>
    <t xml:space="preserve">DIRECCION GENERAL DE EDUCACIÓN MEDIA </t>
  </si>
  <si>
    <t>DIRECCION DE BACHILLERATO TÉCNICO Y FORMACIÓN PROFESIONAL</t>
  </si>
  <si>
    <t>Nº</t>
  </si>
  <si>
    <t>APELLIDOS Y NOMBRES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</si>
  <si>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</si>
  <si>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</si>
  <si>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</si>
  <si>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</si>
  <si>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</si>
  <si>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</si>
  <si>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</si>
  <si>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</si>
  <si>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</si>
  <si>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</si>
  <si>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</si>
  <si>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CONSTRUCCIONES CIVILES</t>
  </si>
  <si>
    <t>TURNO MAÑANA CURSO: 1ro. SECCION: 1ra.</t>
  </si>
  <si>
    <t>TURNO TARDE CURSO: 1ro. SECCION: 2da.</t>
  </si>
  <si>
    <t>TURNO TARDE CURSO: 1ro. SECCION: 3ra.</t>
  </si>
  <si>
    <t xml:space="preserve"> </t>
  </si>
  <si>
    <t>LISTA DEFINITIVA- COLEGIO TECNICO NACIONAL DE LA CAPITAL / 2021</t>
  </si>
  <si>
    <t>RIQUELME ORREGO GUILLERMO MANUEL</t>
  </si>
  <si>
    <t>GALEANO BARRIOS JUAN JOSE RENATO</t>
  </si>
  <si>
    <t>SANCHEZ MAIDANA JANNETTE MONSERRAT</t>
  </si>
  <si>
    <t>GALEANO BARRIOS DANNA DIANA</t>
  </si>
  <si>
    <t>RAMIREZ LOPEZ ENRIQUE GABRIEL</t>
  </si>
  <si>
    <t>SANCHEZ BENITEZ LUCIANA ROSALIA DEL PILAR</t>
  </si>
  <si>
    <t>SOUZA CORVALAN MARIA GUADALUPE</t>
  </si>
  <si>
    <t>SANCHEZ RUIZ DIAZ FERNANDA ARAMI</t>
  </si>
  <si>
    <t>ECHEVERRIA ROA ESTHER GUADALUPE</t>
  </si>
  <si>
    <t>LOPEZ GARAY SOFIA LUJAN</t>
  </si>
  <si>
    <t>VERDUN GONZALEZ ANGEL MATIAS</t>
  </si>
  <si>
    <t>VILLAGRA CUBILLA CAMILA BELEN</t>
  </si>
  <si>
    <t>GOMEZ PORTILLO CARISA ARACELI</t>
  </si>
  <si>
    <t>AMARILLA AGUILERA KENIA JEANETTE</t>
  </si>
  <si>
    <t>HERRERA RIVAS ROCIO AYLEN</t>
  </si>
  <si>
    <t>MENDOZA ALDERETE ANA VICTORIA</t>
  </si>
  <si>
    <t>RAMIREZ BAREIRO ANGEL MANUEL</t>
  </si>
  <si>
    <t>GOMEZ DUARTE MILAGROS ABIGAIL</t>
  </si>
  <si>
    <t>MEDINA RIOS JOSE CARLOS</t>
  </si>
  <si>
    <t>MONGELOS GOMEZ JOEL MATEO</t>
  </si>
  <si>
    <t>BENEGAS BRITEZ SANTIAGO</t>
  </si>
  <si>
    <t>LOPEZ REYES DANIELLA LUJAN</t>
  </si>
  <si>
    <t>RODAS AGUILERA CARLOS AUGUSTO</t>
  </si>
  <si>
    <t>SERVIN NARVAEZ MARIA AUXILIADORA</t>
  </si>
  <si>
    <t>CUEVAS RAMIREZ LUANA MARIA</t>
  </si>
  <si>
    <t>MENDOZA GUILLEN DANNA PAOLA</t>
  </si>
  <si>
    <t>SOSA VALDEZ CESAR EZEQUIEL</t>
  </si>
  <si>
    <t>SACCOMANNO UGARTE PABLO FABIAN</t>
  </si>
  <si>
    <t>ESTIGARRIBIA ALFONZO CARMEN FIORELLA</t>
  </si>
  <si>
    <t>SANCHEZ ESTIGARRIBIA ALVARO JOSE</t>
  </si>
  <si>
    <t>FELTES SEGOVIA YAMILA JULIETA</t>
  </si>
  <si>
    <t>GALVAN CACERES FABIANA ROCIO</t>
  </si>
  <si>
    <t>PERSANO YNSFRAN VALERIA GUADALUPE</t>
  </si>
  <si>
    <t>ZARATE HOUDIN IARA NOEMI</t>
  </si>
  <si>
    <t>VILLALBA MOLINAS KIARA BETZABETH</t>
  </si>
  <si>
    <t>CABRERA GOMEZ DIANA ARACELI</t>
  </si>
  <si>
    <t>DELVALLE PEREZ DENISSE VICTORIA</t>
  </si>
  <si>
    <t>ORTIZ ROMERO AMBAR AILEEN</t>
  </si>
  <si>
    <t>ARZA VEGA SARA DENISSE</t>
  </si>
  <si>
    <t>CUBILLA AYALA AGUSTINA MARIA</t>
  </si>
  <si>
    <t>AQUINO CORONEL GENESIS ABIGAIL</t>
  </si>
  <si>
    <t>MENDOZA ROMANO ARIANNA SOFIA</t>
  </si>
  <si>
    <t>AQUINO REDES LUNA MILAGROS ARAMI</t>
  </si>
  <si>
    <t>BERNAL GODOY GISELLA NICOLE</t>
  </si>
  <si>
    <t>FARIÑA LOPEZ NOLIEL MAGALI</t>
  </si>
  <si>
    <t>GONZALEZ PEÑA MICAELA JOSEFINA</t>
  </si>
  <si>
    <t>ESPINOLA HAMUY MARIA CECILIA</t>
  </si>
  <si>
    <t>PEREDA SERVIAN CECILIA LUJAN</t>
  </si>
  <si>
    <t>CARDOZO ALVAREZ MARIA FERNANDA</t>
  </si>
  <si>
    <t>MACKE FRANCO ANNA MARISSA</t>
  </si>
  <si>
    <t>MAZACOTTE REGUNEGA FACUNDO NICOLAS</t>
  </si>
  <si>
    <t>CABAÑAS ALONZO MIA IVONNE</t>
  </si>
  <si>
    <t>INSUA DELGADO CASMILA ELIZABETH</t>
  </si>
  <si>
    <t>GAMARRA MARTINEZ GONZALO ARIEL</t>
  </si>
  <si>
    <t>LEAL LEON FABRICIO JOSE</t>
  </si>
  <si>
    <t>CACERES LIBARDI BIANCA NAHIR</t>
  </si>
  <si>
    <t>AYALA SIMBRON ARIADNA JULIANA</t>
  </si>
  <si>
    <t>VILLALBA BERNAL MARTHA SOLEDAD</t>
  </si>
  <si>
    <t>BOGADO CABALLERO IRMA MARISOL</t>
  </si>
  <si>
    <t>CABRERA BENITEZ ARIANA JAZMIN</t>
  </si>
  <si>
    <t>CAMACHO CRISTALDO VIOLETA</t>
  </si>
  <si>
    <t>ROA SILVA BIANCA FERNANDA</t>
  </si>
  <si>
    <t>VILLALBA MASI CARLOS DAVID</t>
  </si>
  <si>
    <t>SUAREZ PEREZ ENOC DAVID</t>
  </si>
  <si>
    <t>CANTERO GIMENEZ MARIA PAZ</t>
  </si>
  <si>
    <t>CARDOZO BAREIRO NICOLAS NAHUEL</t>
  </si>
  <si>
    <t>CANILLAS ALONSO RODRIGO SANTOS</t>
  </si>
  <si>
    <t>DUARTE MENDEZ CECILIA MONTSERRAT</t>
  </si>
  <si>
    <t>ARGUELLO ESPINOLA JENNIFER ARAMI</t>
  </si>
  <si>
    <t>DUARTE LOPEZ AMANDA MONSERRATH</t>
  </si>
  <si>
    <t>GALEANO RODRIGUEZ ESTRELLA LISBETH</t>
  </si>
  <si>
    <t>BRITEZ CORONEL JUAN ANDRES</t>
  </si>
  <si>
    <t>CORONEL BENITEZ LUCA AGUSTIN</t>
  </si>
  <si>
    <t>LOPEZ RUIZ DIAZ GIULIANO FABRIZIO</t>
  </si>
  <si>
    <t>GONZALEZ ORTIZ AVRIL LUJAN</t>
  </si>
  <si>
    <t>ORTIZ MORALES CARMIÑIA</t>
  </si>
  <si>
    <t>VALDEZ BARRIOS CECILIA ARAMI</t>
  </si>
  <si>
    <t>GARCIA VALDEZ MAGALI LUJAN</t>
  </si>
  <si>
    <t>ALEMAN CHAPARRO MARA NATHALIA</t>
  </si>
  <si>
    <t>ALCARAZ MARTINO MATEO RAUL</t>
  </si>
  <si>
    <t>TOLEDO MASCHERONI FREDY AQUILES</t>
  </si>
  <si>
    <t>CAREAGA CASCO ANA SOFIA</t>
  </si>
  <si>
    <t>BENITEZ MERELES ZAMIRA BELEN</t>
  </si>
  <si>
    <t>LEIVA SALINAS LEANDRO ARIEL</t>
  </si>
  <si>
    <t>MINISTERIO DE EDUCACION Y CIENCIAS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</si>
</sst>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sz val="10"/>
      <color theme="1"/>
      <name val="Arial"/>
      <family val="2"/>
    </font>
    <font>
      <sz val="10"/>
      <color theme="1"/>
      <name val="Arial  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ill="1"/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3" fontId="8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2" fontId="9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left" vertical="center"/>
    </xf>
    <xf numFmtId="3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left" vertical="center"/>
    </xf>
    <xf numFmtId="2" fontId="9" fillId="0" borderId="1" xfId="0" applyNumberFormat="1" applyFont="1" applyFill="1" applyBorder="1" applyAlignment="1">
      <alignment horizontal="left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6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/>
    </xf>
    <xf numFmtId="164" fontId="3" fillId="0" borderId="1" xfId="1" applyNumberFormat="1" applyFont="1" applyFill="1" applyBorder="1" applyAlignment="1" applyProtection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opLeftCell="A7" workbookViewId="0">
      <selection activeCell="P15" sqref="P15"/>
    </sheetView>
  </sheetViews>
  <sheetFormatPr baseColWidth="10" defaultRowHeight="15"/>
  <cols>
    <col min="1" max="1" width="3.5703125" bestFit="1" customWidth="1"/>
    <col min="2" max="2" width="47.28515625" customWidth="1"/>
    <col min="3" max="3" width="9.5703125" customWidth="1"/>
    <col min="4" max="6" width="5.7109375" customWidth="1"/>
    <col min="7" max="11" width="6.7109375" customWidth="1"/>
  </cols>
  <sheetData>
    <row r="1" spans="1:11">
      <c r="A1" s="28" t="s">
        <v>105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1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1">
      <c r="A4" s="28" t="s">
        <v>20</v>
      </c>
      <c r="B4" s="28"/>
      <c r="C4" s="28"/>
      <c r="D4" s="28"/>
      <c r="E4" s="28"/>
      <c r="F4" s="28"/>
      <c r="G4" s="28"/>
      <c r="H4" s="28"/>
      <c r="I4" s="28"/>
      <c r="J4" s="28"/>
      <c r="K4" s="28"/>
    </row>
    <row r="5" spans="1:11" ht="15.75">
      <c r="A5" s="30" t="s">
        <v>16</v>
      </c>
      <c r="B5" s="30"/>
      <c r="C5" s="30"/>
      <c r="D5" s="30"/>
      <c r="E5" s="30"/>
      <c r="F5" s="30"/>
      <c r="G5" s="30"/>
      <c r="H5" s="30"/>
      <c r="I5" s="30"/>
      <c r="J5" s="30"/>
      <c r="K5" s="30"/>
    </row>
    <row r="6" spans="1:11" ht="35.1" customHeight="1">
      <c r="A6" s="31" t="s">
        <v>2</v>
      </c>
      <c r="B6" s="31" t="s">
        <v>3</v>
      </c>
      <c r="C6" s="32" t="s">
        <v>4</v>
      </c>
      <c r="D6" s="33" t="s">
        <v>5</v>
      </c>
      <c r="E6" s="33"/>
      <c r="F6" s="33"/>
      <c r="G6" s="23" t="s">
        <v>6</v>
      </c>
      <c r="H6" s="21" t="s">
        <v>7</v>
      </c>
      <c r="I6" s="22"/>
      <c r="J6" s="23" t="s">
        <v>8</v>
      </c>
      <c r="K6" s="23" t="s">
        <v>9</v>
      </c>
    </row>
    <row r="7" spans="1:11" ht="30" customHeight="1">
      <c r="A7" s="31"/>
      <c r="B7" s="31"/>
      <c r="C7" s="32"/>
      <c r="D7" s="8" t="s">
        <v>10</v>
      </c>
      <c r="E7" s="8" t="s">
        <v>11</v>
      </c>
      <c r="F7" s="8" t="s">
        <v>12</v>
      </c>
      <c r="G7" s="24"/>
      <c r="H7" s="7" t="s">
        <v>13</v>
      </c>
      <c r="I7" s="7" t="s">
        <v>14</v>
      </c>
      <c r="J7" s="24"/>
      <c r="K7" s="24"/>
    </row>
    <row r="8" spans="1:11">
      <c r="A8" s="25" t="s">
        <v>15</v>
      </c>
      <c r="B8" s="26"/>
      <c r="C8" s="27"/>
      <c r="D8" s="1">
        <v>15</v>
      </c>
      <c r="E8" s="1">
        <v>15</v>
      </c>
      <c r="F8" s="1">
        <v>15</v>
      </c>
      <c r="G8" s="2">
        <f t="shared" ref="G8" si="0">SUM(D8:F8)*100/45*0.4</f>
        <v>40</v>
      </c>
      <c r="H8" s="1">
        <v>30</v>
      </c>
      <c r="I8" s="1">
        <v>30</v>
      </c>
      <c r="J8" s="2">
        <f t="shared" ref="J8" si="1">SUM(H8:I8)</f>
        <v>60</v>
      </c>
      <c r="K8" s="3">
        <f>J8+G8</f>
        <v>100</v>
      </c>
    </row>
    <row r="9" spans="1:11" s="6" customFormat="1" ht="23.1" customHeight="1">
      <c r="A9" s="10">
        <v>1</v>
      </c>
      <c r="B9" s="15" t="s">
        <v>34</v>
      </c>
      <c r="C9" s="16">
        <v>6291244</v>
      </c>
      <c r="D9" s="17">
        <v>15</v>
      </c>
      <c r="E9" s="17">
        <v>15</v>
      </c>
      <c r="F9" s="17">
        <v>14</v>
      </c>
      <c r="G9" s="18">
        <f t="shared" ref="G9:G36" si="2">SUM(D9:F9)*100/45*0.4</f>
        <v>39.111111111111114</v>
      </c>
      <c r="H9" s="18">
        <v>16</v>
      </c>
      <c r="I9" s="18">
        <v>26</v>
      </c>
      <c r="J9" s="18">
        <f t="shared" ref="J9:J36" si="3">SUM(H9:I9)</f>
        <v>42</v>
      </c>
      <c r="K9" s="18">
        <f t="shared" ref="K9:K36" si="4">G9+J9</f>
        <v>81.111111111111114</v>
      </c>
    </row>
    <row r="10" spans="1:11" s="6" customFormat="1" ht="23.1" customHeight="1">
      <c r="A10" s="10">
        <v>2</v>
      </c>
      <c r="B10" s="15" t="s">
        <v>41</v>
      </c>
      <c r="C10" s="16">
        <v>5498400</v>
      </c>
      <c r="D10" s="17">
        <v>15</v>
      </c>
      <c r="E10" s="17">
        <v>15</v>
      </c>
      <c r="F10" s="17">
        <v>15</v>
      </c>
      <c r="G10" s="18">
        <f t="shared" si="2"/>
        <v>40</v>
      </c>
      <c r="H10" s="18">
        <v>16</v>
      </c>
      <c r="I10" s="18">
        <v>23</v>
      </c>
      <c r="J10" s="18">
        <f t="shared" si="3"/>
        <v>39</v>
      </c>
      <c r="K10" s="18">
        <f t="shared" si="4"/>
        <v>79</v>
      </c>
    </row>
    <row r="11" spans="1:11" s="6" customFormat="1" ht="23.1" customHeight="1">
      <c r="A11" s="10">
        <v>3</v>
      </c>
      <c r="B11" s="15" t="s">
        <v>45</v>
      </c>
      <c r="C11" s="16">
        <v>5983017</v>
      </c>
      <c r="D11" s="17">
        <v>14</v>
      </c>
      <c r="E11" s="17">
        <v>15</v>
      </c>
      <c r="F11" s="17">
        <v>15</v>
      </c>
      <c r="G11" s="18">
        <f t="shared" si="2"/>
        <v>39.111111111111114</v>
      </c>
      <c r="H11" s="18">
        <v>15</v>
      </c>
      <c r="I11" s="18">
        <v>23</v>
      </c>
      <c r="J11" s="18">
        <f t="shared" si="3"/>
        <v>38</v>
      </c>
      <c r="K11" s="18">
        <f t="shared" si="4"/>
        <v>77.111111111111114</v>
      </c>
    </row>
    <row r="12" spans="1:11" s="6" customFormat="1" ht="23.1" customHeight="1">
      <c r="A12" s="10">
        <v>4</v>
      </c>
      <c r="B12" s="15" t="s">
        <v>29</v>
      </c>
      <c r="C12" s="16">
        <v>5591939</v>
      </c>
      <c r="D12" s="17">
        <v>15</v>
      </c>
      <c r="E12" s="17">
        <v>15</v>
      </c>
      <c r="F12" s="17">
        <v>15</v>
      </c>
      <c r="G12" s="18">
        <f t="shared" si="2"/>
        <v>40</v>
      </c>
      <c r="H12" s="18">
        <v>16</v>
      </c>
      <c r="I12" s="18">
        <v>28</v>
      </c>
      <c r="J12" s="18">
        <f t="shared" si="3"/>
        <v>44</v>
      </c>
      <c r="K12" s="18">
        <f t="shared" si="4"/>
        <v>84</v>
      </c>
    </row>
    <row r="13" spans="1:11" s="6" customFormat="1" ht="23.1" customHeight="1">
      <c r="A13" s="10">
        <v>5</v>
      </c>
      <c r="B13" s="15" t="s">
        <v>24</v>
      </c>
      <c r="C13" s="16">
        <v>6289584</v>
      </c>
      <c r="D13" s="17">
        <v>13</v>
      </c>
      <c r="E13" s="17">
        <v>14</v>
      </c>
      <c r="F13" s="17">
        <v>14</v>
      </c>
      <c r="G13" s="18">
        <f t="shared" si="2"/>
        <v>36.44444444444445</v>
      </c>
      <c r="H13" s="18">
        <v>25</v>
      </c>
      <c r="I13" s="18">
        <v>24</v>
      </c>
      <c r="J13" s="18">
        <f t="shared" si="3"/>
        <v>49</v>
      </c>
      <c r="K13" s="18">
        <f t="shared" si="4"/>
        <v>85.444444444444457</v>
      </c>
    </row>
    <row r="14" spans="1:11" s="6" customFormat="1" ht="23.1" customHeight="1">
      <c r="A14" s="10">
        <v>6</v>
      </c>
      <c r="B14" s="15" t="s">
        <v>22</v>
      </c>
      <c r="C14" s="16">
        <v>6289542</v>
      </c>
      <c r="D14" s="17">
        <v>14</v>
      </c>
      <c r="E14" s="17">
        <v>14</v>
      </c>
      <c r="F14" s="17">
        <v>14</v>
      </c>
      <c r="G14" s="18">
        <f t="shared" si="2"/>
        <v>37.333333333333336</v>
      </c>
      <c r="H14" s="18">
        <v>24</v>
      </c>
      <c r="I14" s="18">
        <v>25</v>
      </c>
      <c r="J14" s="18">
        <f t="shared" si="3"/>
        <v>49</v>
      </c>
      <c r="K14" s="18">
        <f t="shared" si="4"/>
        <v>86.333333333333343</v>
      </c>
    </row>
    <row r="15" spans="1:11" s="6" customFormat="1" ht="23.1" customHeight="1">
      <c r="A15" s="10">
        <v>7</v>
      </c>
      <c r="B15" s="15" t="s">
        <v>38</v>
      </c>
      <c r="C15" s="16">
        <v>5660204</v>
      </c>
      <c r="D15" s="17">
        <v>15</v>
      </c>
      <c r="E15" s="17">
        <v>15</v>
      </c>
      <c r="F15" s="17">
        <v>15</v>
      </c>
      <c r="G15" s="18">
        <f t="shared" si="2"/>
        <v>40</v>
      </c>
      <c r="H15" s="18">
        <v>16</v>
      </c>
      <c r="I15" s="18">
        <v>24</v>
      </c>
      <c r="J15" s="18">
        <f t="shared" si="3"/>
        <v>40</v>
      </c>
      <c r="K15" s="18">
        <f t="shared" si="4"/>
        <v>80</v>
      </c>
    </row>
    <row r="16" spans="1:11" s="6" customFormat="1" ht="23.1" customHeight="1">
      <c r="A16" s="10">
        <v>8</v>
      </c>
      <c r="B16" s="15" t="s">
        <v>33</v>
      </c>
      <c r="C16" s="16">
        <v>5677369</v>
      </c>
      <c r="D16" s="17">
        <v>15</v>
      </c>
      <c r="E16" s="17">
        <v>15</v>
      </c>
      <c r="F16" s="17">
        <v>15</v>
      </c>
      <c r="G16" s="18">
        <f t="shared" si="2"/>
        <v>40</v>
      </c>
      <c r="H16" s="18">
        <v>15</v>
      </c>
      <c r="I16" s="18">
        <v>27</v>
      </c>
      <c r="J16" s="18">
        <f t="shared" si="3"/>
        <v>42</v>
      </c>
      <c r="K16" s="18">
        <f t="shared" si="4"/>
        <v>82</v>
      </c>
    </row>
    <row r="17" spans="1:11" s="6" customFormat="1" ht="23.1" customHeight="1">
      <c r="A17" s="10">
        <v>9</v>
      </c>
      <c r="B17" s="15" t="s">
        <v>35</v>
      </c>
      <c r="C17" s="16">
        <v>5772703</v>
      </c>
      <c r="D17" s="17">
        <v>15</v>
      </c>
      <c r="E17" s="17">
        <v>15</v>
      </c>
      <c r="F17" s="17">
        <v>15</v>
      </c>
      <c r="G17" s="18">
        <f t="shared" si="2"/>
        <v>40</v>
      </c>
      <c r="H17" s="18">
        <v>16</v>
      </c>
      <c r="I17" s="18">
        <v>25</v>
      </c>
      <c r="J17" s="18">
        <f t="shared" si="3"/>
        <v>41</v>
      </c>
      <c r="K17" s="18">
        <f t="shared" si="4"/>
        <v>81</v>
      </c>
    </row>
    <row r="18" spans="1:11" s="6" customFormat="1" ht="23.1" customHeight="1">
      <c r="A18" s="10">
        <v>10</v>
      </c>
      <c r="B18" s="15" t="s">
        <v>30</v>
      </c>
      <c r="C18" s="16">
        <v>6035266</v>
      </c>
      <c r="D18" s="17">
        <v>15</v>
      </c>
      <c r="E18" s="17">
        <v>15</v>
      </c>
      <c r="F18" s="17">
        <v>15</v>
      </c>
      <c r="G18" s="18">
        <f t="shared" si="2"/>
        <v>40</v>
      </c>
      <c r="H18" s="18">
        <v>19</v>
      </c>
      <c r="I18" s="18">
        <v>25</v>
      </c>
      <c r="J18" s="18">
        <f t="shared" si="3"/>
        <v>44</v>
      </c>
      <c r="K18" s="18">
        <f t="shared" si="4"/>
        <v>84</v>
      </c>
    </row>
    <row r="19" spans="1:11" s="6" customFormat="1" ht="23.1" customHeight="1">
      <c r="A19" s="10">
        <v>11</v>
      </c>
      <c r="B19" s="15" t="s">
        <v>42</v>
      </c>
      <c r="C19" s="16">
        <v>6101027</v>
      </c>
      <c r="D19" s="17">
        <v>15</v>
      </c>
      <c r="E19" s="17">
        <v>15</v>
      </c>
      <c r="F19" s="17">
        <v>15</v>
      </c>
      <c r="G19" s="18">
        <f t="shared" si="2"/>
        <v>40</v>
      </c>
      <c r="H19" s="18">
        <v>13</v>
      </c>
      <c r="I19" s="18">
        <v>26</v>
      </c>
      <c r="J19" s="18">
        <f t="shared" si="3"/>
        <v>39</v>
      </c>
      <c r="K19" s="18">
        <f t="shared" si="4"/>
        <v>79</v>
      </c>
    </row>
    <row r="20" spans="1:11" s="6" customFormat="1" ht="23.1" customHeight="1">
      <c r="A20" s="10">
        <v>12</v>
      </c>
      <c r="B20" s="15" t="s">
        <v>39</v>
      </c>
      <c r="C20" s="16">
        <v>7654265</v>
      </c>
      <c r="D20" s="17">
        <v>14</v>
      </c>
      <c r="E20" s="17">
        <v>14</v>
      </c>
      <c r="F20" s="17">
        <v>15</v>
      </c>
      <c r="G20" s="18">
        <f t="shared" si="2"/>
        <v>38.222222222222221</v>
      </c>
      <c r="H20" s="18">
        <v>16</v>
      </c>
      <c r="I20" s="18">
        <v>25</v>
      </c>
      <c r="J20" s="18">
        <f t="shared" si="3"/>
        <v>41</v>
      </c>
      <c r="K20" s="18">
        <f t="shared" si="4"/>
        <v>79.222222222222229</v>
      </c>
    </row>
    <row r="21" spans="1:11" s="6" customFormat="1" ht="23.1" customHeight="1">
      <c r="A21" s="10">
        <v>13</v>
      </c>
      <c r="B21" s="15" t="s">
        <v>36</v>
      </c>
      <c r="C21" s="16">
        <v>7562356</v>
      </c>
      <c r="D21" s="17">
        <v>15</v>
      </c>
      <c r="E21" s="17">
        <v>15</v>
      </c>
      <c r="F21" s="17">
        <v>15</v>
      </c>
      <c r="G21" s="18">
        <f t="shared" si="2"/>
        <v>40</v>
      </c>
      <c r="H21" s="18">
        <v>18</v>
      </c>
      <c r="I21" s="18">
        <v>23</v>
      </c>
      <c r="J21" s="18">
        <f t="shared" si="3"/>
        <v>41</v>
      </c>
      <c r="K21" s="18">
        <f t="shared" si="4"/>
        <v>81</v>
      </c>
    </row>
    <row r="22" spans="1:11" s="6" customFormat="1" ht="23.1" customHeight="1">
      <c r="A22" s="10">
        <v>14</v>
      </c>
      <c r="B22" s="15" t="s">
        <v>46</v>
      </c>
      <c r="C22" s="16">
        <v>5968299</v>
      </c>
      <c r="D22" s="17">
        <v>15</v>
      </c>
      <c r="E22" s="17">
        <v>15</v>
      </c>
      <c r="F22" s="17">
        <v>15</v>
      </c>
      <c r="G22" s="18">
        <f t="shared" si="2"/>
        <v>40</v>
      </c>
      <c r="H22" s="18">
        <v>17</v>
      </c>
      <c r="I22" s="18">
        <v>20</v>
      </c>
      <c r="J22" s="18">
        <f t="shared" si="3"/>
        <v>37</v>
      </c>
      <c r="K22" s="18">
        <f t="shared" si="4"/>
        <v>77</v>
      </c>
    </row>
    <row r="23" spans="1:11" s="6" customFormat="1" ht="23.1" customHeight="1">
      <c r="A23" s="10">
        <v>15</v>
      </c>
      <c r="B23" s="15" t="s">
        <v>40</v>
      </c>
      <c r="C23" s="16">
        <v>5643535</v>
      </c>
      <c r="D23" s="17">
        <v>14</v>
      </c>
      <c r="E23" s="17">
        <v>15</v>
      </c>
      <c r="F23" s="17">
        <v>15</v>
      </c>
      <c r="G23" s="18">
        <f t="shared" si="2"/>
        <v>39.111111111111114</v>
      </c>
      <c r="H23" s="18">
        <v>22</v>
      </c>
      <c r="I23" s="18">
        <v>18</v>
      </c>
      <c r="J23" s="18">
        <f t="shared" si="3"/>
        <v>40</v>
      </c>
      <c r="K23" s="18">
        <f t="shared" si="4"/>
        <v>79.111111111111114</v>
      </c>
    </row>
    <row r="24" spans="1:11" s="6" customFormat="1" ht="23.1" customHeight="1">
      <c r="A24" s="10">
        <v>16</v>
      </c>
      <c r="B24" s="15" t="s">
        <v>37</v>
      </c>
      <c r="C24" s="16">
        <v>6130057</v>
      </c>
      <c r="D24" s="17">
        <v>13</v>
      </c>
      <c r="E24" s="17">
        <v>12</v>
      </c>
      <c r="F24" s="17">
        <v>15</v>
      </c>
      <c r="G24" s="18">
        <f t="shared" si="2"/>
        <v>35.555555555555557</v>
      </c>
      <c r="H24" s="18">
        <v>21</v>
      </c>
      <c r="I24" s="18">
        <v>24</v>
      </c>
      <c r="J24" s="18">
        <f t="shared" si="3"/>
        <v>45</v>
      </c>
      <c r="K24" s="18">
        <f t="shared" si="4"/>
        <v>80.555555555555557</v>
      </c>
    </row>
    <row r="25" spans="1:11" s="6" customFormat="1" ht="23.1" customHeight="1">
      <c r="A25" s="10">
        <v>17</v>
      </c>
      <c r="B25" s="15" t="s">
        <v>25</v>
      </c>
      <c r="C25" s="16">
        <v>6698628</v>
      </c>
      <c r="D25" s="17">
        <v>15</v>
      </c>
      <c r="E25" s="17">
        <v>15</v>
      </c>
      <c r="F25" s="17">
        <v>15</v>
      </c>
      <c r="G25" s="18">
        <f t="shared" si="2"/>
        <v>40</v>
      </c>
      <c r="H25" s="18">
        <v>20</v>
      </c>
      <c r="I25" s="18">
        <v>25</v>
      </c>
      <c r="J25" s="18">
        <f t="shared" si="3"/>
        <v>45</v>
      </c>
      <c r="K25" s="18">
        <f t="shared" si="4"/>
        <v>85</v>
      </c>
    </row>
    <row r="26" spans="1:11" s="6" customFormat="1" ht="23.1" customHeight="1">
      <c r="A26" s="10">
        <v>18</v>
      </c>
      <c r="B26" s="15" t="s">
        <v>21</v>
      </c>
      <c r="C26" s="16">
        <v>6152243</v>
      </c>
      <c r="D26" s="17">
        <v>15</v>
      </c>
      <c r="E26" s="17">
        <v>15</v>
      </c>
      <c r="F26" s="17">
        <v>15</v>
      </c>
      <c r="G26" s="18">
        <f t="shared" si="2"/>
        <v>40</v>
      </c>
      <c r="H26" s="18">
        <v>20</v>
      </c>
      <c r="I26" s="18">
        <v>29</v>
      </c>
      <c r="J26" s="18">
        <f t="shared" si="3"/>
        <v>49</v>
      </c>
      <c r="K26" s="18">
        <f t="shared" si="4"/>
        <v>89</v>
      </c>
    </row>
    <row r="27" spans="1:11" s="6" customFormat="1" ht="23.1" customHeight="1">
      <c r="A27" s="10">
        <v>19</v>
      </c>
      <c r="B27" s="15" t="s">
        <v>43</v>
      </c>
      <c r="C27" s="16">
        <v>5987425</v>
      </c>
      <c r="D27" s="17">
        <v>15</v>
      </c>
      <c r="E27" s="17">
        <v>15</v>
      </c>
      <c r="F27" s="17">
        <v>15</v>
      </c>
      <c r="G27" s="18">
        <f t="shared" si="2"/>
        <v>40</v>
      </c>
      <c r="H27" s="18">
        <v>15</v>
      </c>
      <c r="I27" s="18">
        <v>24</v>
      </c>
      <c r="J27" s="18">
        <f t="shared" si="3"/>
        <v>39</v>
      </c>
      <c r="K27" s="18">
        <f t="shared" si="4"/>
        <v>79</v>
      </c>
    </row>
    <row r="28" spans="1:11" s="6" customFormat="1" ht="23.1" customHeight="1">
      <c r="A28" s="10">
        <v>20</v>
      </c>
      <c r="B28" s="15" t="s">
        <v>48</v>
      </c>
      <c r="C28" s="16">
        <v>5770233</v>
      </c>
      <c r="D28" s="17">
        <v>15</v>
      </c>
      <c r="E28" s="17">
        <v>15</v>
      </c>
      <c r="F28" s="17">
        <v>15</v>
      </c>
      <c r="G28" s="18">
        <f t="shared" si="2"/>
        <v>40</v>
      </c>
      <c r="H28" s="18">
        <v>16</v>
      </c>
      <c r="I28" s="18">
        <v>21</v>
      </c>
      <c r="J28" s="18">
        <f t="shared" si="3"/>
        <v>37</v>
      </c>
      <c r="K28" s="18">
        <f t="shared" si="4"/>
        <v>77</v>
      </c>
    </row>
    <row r="29" spans="1:11" s="6" customFormat="1" ht="23.1" customHeight="1">
      <c r="A29" s="10">
        <v>21</v>
      </c>
      <c r="B29" s="15" t="s">
        <v>26</v>
      </c>
      <c r="C29" s="16">
        <v>5624809</v>
      </c>
      <c r="D29" s="17">
        <v>15</v>
      </c>
      <c r="E29" s="17">
        <v>15</v>
      </c>
      <c r="F29" s="17">
        <v>15</v>
      </c>
      <c r="G29" s="18">
        <f t="shared" si="2"/>
        <v>40</v>
      </c>
      <c r="H29" s="18">
        <v>21</v>
      </c>
      <c r="I29" s="18">
        <v>24</v>
      </c>
      <c r="J29" s="18">
        <f t="shared" si="3"/>
        <v>45</v>
      </c>
      <c r="K29" s="18">
        <f t="shared" si="4"/>
        <v>85</v>
      </c>
    </row>
    <row r="30" spans="1:11" s="6" customFormat="1" ht="23.1" customHeight="1">
      <c r="A30" s="10">
        <v>22</v>
      </c>
      <c r="B30" s="15" t="s">
        <v>23</v>
      </c>
      <c r="C30" s="16">
        <v>6153196</v>
      </c>
      <c r="D30" s="17">
        <v>15</v>
      </c>
      <c r="E30" s="17">
        <v>15</v>
      </c>
      <c r="F30" s="17">
        <v>15</v>
      </c>
      <c r="G30" s="18">
        <f t="shared" si="2"/>
        <v>40</v>
      </c>
      <c r="H30" s="18">
        <v>17</v>
      </c>
      <c r="I30" s="18">
        <v>29</v>
      </c>
      <c r="J30" s="18">
        <f t="shared" si="3"/>
        <v>46</v>
      </c>
      <c r="K30" s="18">
        <f t="shared" si="4"/>
        <v>86</v>
      </c>
    </row>
    <row r="31" spans="1:11" s="6" customFormat="1" ht="23.1" customHeight="1">
      <c r="A31" s="10">
        <v>23</v>
      </c>
      <c r="B31" s="15" t="s">
        <v>28</v>
      </c>
      <c r="C31" s="16">
        <v>5612897</v>
      </c>
      <c r="D31" s="17">
        <v>15</v>
      </c>
      <c r="E31" s="17">
        <v>14</v>
      </c>
      <c r="F31" s="17">
        <v>15</v>
      </c>
      <c r="G31" s="18">
        <f t="shared" si="2"/>
        <v>39.111111111111114</v>
      </c>
      <c r="H31" s="18">
        <v>23</v>
      </c>
      <c r="I31" s="18">
        <v>22</v>
      </c>
      <c r="J31" s="18">
        <f t="shared" si="3"/>
        <v>45</v>
      </c>
      <c r="K31" s="18">
        <f t="shared" si="4"/>
        <v>84.111111111111114</v>
      </c>
    </row>
    <row r="32" spans="1:11" s="6" customFormat="1" ht="23.1" customHeight="1">
      <c r="A32" s="10">
        <v>24</v>
      </c>
      <c r="B32" s="15" t="s">
        <v>44</v>
      </c>
      <c r="C32" s="16">
        <v>5993659</v>
      </c>
      <c r="D32" s="17">
        <v>11</v>
      </c>
      <c r="E32" s="17">
        <v>14</v>
      </c>
      <c r="F32" s="17">
        <v>14</v>
      </c>
      <c r="G32" s="18">
        <f t="shared" si="2"/>
        <v>34.666666666666671</v>
      </c>
      <c r="H32" s="18">
        <v>18</v>
      </c>
      <c r="I32" s="18">
        <v>25</v>
      </c>
      <c r="J32" s="18">
        <f t="shared" si="3"/>
        <v>43</v>
      </c>
      <c r="K32" s="18">
        <f t="shared" si="4"/>
        <v>77.666666666666671</v>
      </c>
    </row>
    <row r="33" spans="1:11" s="6" customFormat="1" ht="23.1" customHeight="1">
      <c r="A33" s="10">
        <v>25</v>
      </c>
      <c r="B33" s="15" t="s">
        <v>47</v>
      </c>
      <c r="C33" s="16">
        <v>5503738</v>
      </c>
      <c r="D33" s="17">
        <v>15</v>
      </c>
      <c r="E33" s="17">
        <v>15</v>
      </c>
      <c r="F33" s="17">
        <v>15</v>
      </c>
      <c r="G33" s="18">
        <f t="shared" si="2"/>
        <v>40</v>
      </c>
      <c r="H33" s="18">
        <v>13</v>
      </c>
      <c r="I33" s="18">
        <v>24</v>
      </c>
      <c r="J33" s="18">
        <f t="shared" si="3"/>
        <v>37</v>
      </c>
      <c r="K33" s="18">
        <f t="shared" si="4"/>
        <v>77</v>
      </c>
    </row>
    <row r="34" spans="1:11" s="6" customFormat="1" ht="23.1" customHeight="1">
      <c r="A34" s="10">
        <v>26</v>
      </c>
      <c r="B34" s="15" t="s">
        <v>27</v>
      </c>
      <c r="C34" s="16">
        <v>6286718</v>
      </c>
      <c r="D34" s="17">
        <v>15</v>
      </c>
      <c r="E34" s="17">
        <v>15</v>
      </c>
      <c r="F34" s="17">
        <v>15</v>
      </c>
      <c r="G34" s="18">
        <f t="shared" si="2"/>
        <v>40</v>
      </c>
      <c r="H34" s="18">
        <v>19</v>
      </c>
      <c r="I34" s="18">
        <v>26</v>
      </c>
      <c r="J34" s="18">
        <f t="shared" si="3"/>
        <v>45</v>
      </c>
      <c r="K34" s="18">
        <f t="shared" si="4"/>
        <v>85</v>
      </c>
    </row>
    <row r="35" spans="1:11" s="6" customFormat="1" ht="23.1" customHeight="1">
      <c r="A35" s="10">
        <v>27</v>
      </c>
      <c r="B35" s="15" t="s">
        <v>31</v>
      </c>
      <c r="C35" s="16">
        <v>5569709</v>
      </c>
      <c r="D35" s="17">
        <v>15</v>
      </c>
      <c r="E35" s="17">
        <v>15</v>
      </c>
      <c r="F35" s="17">
        <v>15</v>
      </c>
      <c r="G35" s="18">
        <f t="shared" si="2"/>
        <v>40</v>
      </c>
      <c r="H35" s="18">
        <v>18</v>
      </c>
      <c r="I35" s="18">
        <v>26</v>
      </c>
      <c r="J35" s="18">
        <f t="shared" si="3"/>
        <v>44</v>
      </c>
      <c r="K35" s="18">
        <f t="shared" si="4"/>
        <v>84</v>
      </c>
    </row>
    <row r="36" spans="1:11" s="6" customFormat="1" ht="23.1" customHeight="1">
      <c r="A36" s="10">
        <v>28</v>
      </c>
      <c r="B36" s="15" t="s">
        <v>32</v>
      </c>
      <c r="C36" s="16">
        <v>5987873</v>
      </c>
      <c r="D36" s="17">
        <v>15</v>
      </c>
      <c r="E36" s="17">
        <v>15</v>
      </c>
      <c r="F36" s="17">
        <v>15</v>
      </c>
      <c r="G36" s="18">
        <f t="shared" si="2"/>
        <v>40</v>
      </c>
      <c r="H36" s="18">
        <v>17</v>
      </c>
      <c r="I36" s="18">
        <v>26</v>
      </c>
      <c r="J36" s="18">
        <f t="shared" si="3"/>
        <v>43</v>
      </c>
      <c r="K36" s="18">
        <f t="shared" si="4"/>
        <v>83</v>
      </c>
    </row>
  </sheetData>
  <sortState ref="B9:K36">
    <sortCondition ref="B9:B36"/>
  </sortState>
  <mergeCells count="14">
    <mergeCell ref="H6:I6"/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M10" sqref="M10"/>
    </sheetView>
  </sheetViews>
  <sheetFormatPr baseColWidth="10" defaultRowHeight="15"/>
  <cols>
    <col min="1" max="1" width="3.5703125" bestFit="1" customWidth="1"/>
    <col min="2" max="2" width="47.28515625" customWidth="1"/>
    <col min="3" max="3" width="11.140625" customWidth="1"/>
    <col min="4" max="6" width="5.7109375" customWidth="1"/>
    <col min="7" max="11" width="6.7109375" customWidth="1"/>
  </cols>
  <sheetData>
    <row r="1" spans="1:11">
      <c r="A1" s="28" t="s">
        <v>105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1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1">
      <c r="A4" s="28" t="s">
        <v>20</v>
      </c>
      <c r="B4" s="28"/>
      <c r="C4" s="28"/>
      <c r="D4" s="28"/>
      <c r="E4" s="28"/>
      <c r="F4" s="28"/>
      <c r="G4" s="28"/>
      <c r="H4" s="28"/>
      <c r="I4" s="28"/>
      <c r="J4" s="28"/>
      <c r="K4" s="28"/>
    </row>
    <row r="5" spans="1:11" ht="15.75">
      <c r="A5" s="30" t="s">
        <v>17</v>
      </c>
      <c r="B5" s="30"/>
      <c r="C5" s="30"/>
      <c r="D5" s="30"/>
      <c r="E5" s="30"/>
      <c r="F5" s="30"/>
      <c r="G5" s="30"/>
      <c r="H5" s="30"/>
      <c r="I5" s="30"/>
      <c r="J5" s="30"/>
      <c r="K5" s="30"/>
    </row>
    <row r="6" spans="1:11" ht="35.1" customHeight="1">
      <c r="A6" s="31" t="s">
        <v>2</v>
      </c>
      <c r="B6" s="31" t="s">
        <v>3</v>
      </c>
      <c r="C6" s="32" t="s">
        <v>4</v>
      </c>
      <c r="D6" s="33" t="s">
        <v>5</v>
      </c>
      <c r="E6" s="33"/>
      <c r="F6" s="33"/>
      <c r="G6" s="23" t="s">
        <v>6</v>
      </c>
      <c r="H6" s="21" t="s">
        <v>7</v>
      </c>
      <c r="I6" s="22"/>
      <c r="J6" s="23" t="s">
        <v>8</v>
      </c>
      <c r="K6" s="23" t="s">
        <v>9</v>
      </c>
    </row>
    <row r="7" spans="1:11" ht="30" customHeight="1">
      <c r="A7" s="31"/>
      <c r="B7" s="31"/>
      <c r="C7" s="32"/>
      <c r="D7" s="8" t="s">
        <v>10</v>
      </c>
      <c r="E7" s="8" t="s">
        <v>11</v>
      </c>
      <c r="F7" s="8" t="s">
        <v>12</v>
      </c>
      <c r="G7" s="24"/>
      <c r="H7" s="7" t="s">
        <v>13</v>
      </c>
      <c r="I7" s="7" t="s">
        <v>14</v>
      </c>
      <c r="J7" s="24"/>
      <c r="K7" s="24"/>
    </row>
    <row r="8" spans="1:11">
      <c r="A8" s="25" t="s">
        <v>15</v>
      </c>
      <c r="B8" s="26"/>
      <c r="C8" s="27"/>
      <c r="D8" s="1">
        <v>15</v>
      </c>
      <c r="E8" s="1">
        <v>15</v>
      </c>
      <c r="F8" s="1">
        <v>15</v>
      </c>
      <c r="G8" s="2">
        <f t="shared" ref="G8" si="0">SUM(D8:F8)*100/45*0.4</f>
        <v>40</v>
      </c>
      <c r="H8" s="1">
        <v>30</v>
      </c>
      <c r="I8" s="1">
        <v>30</v>
      </c>
      <c r="J8" s="2">
        <f t="shared" ref="J8" si="1">SUM(H8:I8)</f>
        <v>60</v>
      </c>
      <c r="K8" s="3">
        <f>J8+G8</f>
        <v>100</v>
      </c>
    </row>
    <row r="9" spans="1:11" s="6" customFormat="1" ht="23.1" customHeight="1">
      <c r="A9" s="10">
        <v>1</v>
      </c>
      <c r="B9" s="15" t="s">
        <v>61</v>
      </c>
      <c r="C9" s="16">
        <v>5783011</v>
      </c>
      <c r="D9" s="17">
        <v>13</v>
      </c>
      <c r="E9" s="17">
        <v>15</v>
      </c>
      <c r="F9" s="17">
        <v>13</v>
      </c>
      <c r="G9" s="18">
        <f t="shared" ref="G9:G36" si="2">SUM(D9:F9)*100/45*0.4</f>
        <v>36.44444444444445</v>
      </c>
      <c r="H9" s="18">
        <v>15</v>
      </c>
      <c r="I9" s="18">
        <v>23</v>
      </c>
      <c r="J9" s="18">
        <f t="shared" ref="J9:J36" si="3">SUM(H9:I9)</f>
        <v>38</v>
      </c>
      <c r="K9" s="18">
        <f t="shared" ref="K9:K36" si="4">G9+J9</f>
        <v>74.444444444444457</v>
      </c>
    </row>
    <row r="10" spans="1:11" s="6" customFormat="1" ht="23.1" customHeight="1">
      <c r="A10" s="10">
        <v>2</v>
      </c>
      <c r="B10" s="15" t="s">
        <v>63</v>
      </c>
      <c r="C10" s="16">
        <v>5495472</v>
      </c>
      <c r="D10" s="17">
        <v>14</v>
      </c>
      <c r="E10" s="17">
        <v>15</v>
      </c>
      <c r="F10" s="17">
        <v>14</v>
      </c>
      <c r="G10" s="18">
        <f t="shared" si="2"/>
        <v>38.222222222222221</v>
      </c>
      <c r="H10" s="18">
        <v>10</v>
      </c>
      <c r="I10" s="18">
        <v>26</v>
      </c>
      <c r="J10" s="18">
        <f t="shared" si="3"/>
        <v>36</v>
      </c>
      <c r="K10" s="18">
        <f t="shared" si="4"/>
        <v>74.222222222222229</v>
      </c>
    </row>
    <row r="11" spans="1:11" s="6" customFormat="1" ht="23.1" customHeight="1">
      <c r="A11" s="10">
        <v>3</v>
      </c>
      <c r="B11" s="15" t="s">
        <v>59</v>
      </c>
      <c r="C11" s="16">
        <v>5947415</v>
      </c>
      <c r="D11" s="17">
        <v>15</v>
      </c>
      <c r="E11" s="17">
        <v>15</v>
      </c>
      <c r="F11" s="17">
        <v>15</v>
      </c>
      <c r="G11" s="18">
        <f t="shared" si="2"/>
        <v>40</v>
      </c>
      <c r="H11" s="18">
        <v>19</v>
      </c>
      <c r="I11" s="18">
        <v>16</v>
      </c>
      <c r="J11" s="18">
        <f t="shared" si="3"/>
        <v>35</v>
      </c>
      <c r="K11" s="18">
        <f t="shared" si="4"/>
        <v>75</v>
      </c>
    </row>
    <row r="12" spans="1:11" s="6" customFormat="1" ht="23.1" customHeight="1">
      <c r="A12" s="10">
        <v>4</v>
      </c>
      <c r="B12" s="15" t="s">
        <v>64</v>
      </c>
      <c r="C12" s="16">
        <v>6920574</v>
      </c>
      <c r="D12" s="17">
        <v>14</v>
      </c>
      <c r="E12" s="17">
        <v>15</v>
      </c>
      <c r="F12" s="17">
        <v>15</v>
      </c>
      <c r="G12" s="18">
        <f t="shared" si="2"/>
        <v>39.111111111111114</v>
      </c>
      <c r="H12" s="18">
        <v>14</v>
      </c>
      <c r="I12" s="18">
        <v>21</v>
      </c>
      <c r="J12" s="18">
        <f t="shared" si="3"/>
        <v>35</v>
      </c>
      <c r="K12" s="18">
        <f t="shared" si="4"/>
        <v>74.111111111111114</v>
      </c>
    </row>
    <row r="13" spans="1:11" s="6" customFormat="1" ht="23.1" customHeight="1">
      <c r="A13" s="10">
        <v>5</v>
      </c>
      <c r="B13" s="15" t="s">
        <v>72</v>
      </c>
      <c r="C13" s="16">
        <v>8703575</v>
      </c>
      <c r="D13" s="17">
        <v>15</v>
      </c>
      <c r="E13" s="17">
        <v>15</v>
      </c>
      <c r="F13" s="17">
        <v>14</v>
      </c>
      <c r="G13" s="18">
        <f t="shared" si="2"/>
        <v>39.111111111111114</v>
      </c>
      <c r="H13" s="18">
        <v>12</v>
      </c>
      <c r="I13" s="18">
        <v>22</v>
      </c>
      <c r="J13" s="18">
        <f t="shared" si="3"/>
        <v>34</v>
      </c>
      <c r="K13" s="18">
        <f t="shared" si="4"/>
        <v>73.111111111111114</v>
      </c>
    </row>
    <row r="14" spans="1:11" s="6" customFormat="1" ht="23.1" customHeight="1">
      <c r="A14" s="10">
        <v>6</v>
      </c>
      <c r="B14" s="15" t="s">
        <v>56</v>
      </c>
      <c r="C14" s="16">
        <v>5757867</v>
      </c>
      <c r="D14" s="17">
        <v>15</v>
      </c>
      <c r="E14" s="17">
        <v>15</v>
      </c>
      <c r="F14" s="17">
        <v>14</v>
      </c>
      <c r="G14" s="18">
        <f t="shared" si="2"/>
        <v>39.111111111111114</v>
      </c>
      <c r="H14" s="18">
        <v>14</v>
      </c>
      <c r="I14" s="18">
        <v>22</v>
      </c>
      <c r="J14" s="18">
        <f t="shared" si="3"/>
        <v>36</v>
      </c>
      <c r="K14" s="18">
        <f t="shared" si="4"/>
        <v>75.111111111111114</v>
      </c>
    </row>
    <row r="15" spans="1:11" s="6" customFormat="1" ht="23.1" customHeight="1">
      <c r="A15" s="10">
        <v>7</v>
      </c>
      <c r="B15" s="15" t="s">
        <v>76</v>
      </c>
      <c r="C15" s="16">
        <v>5528307</v>
      </c>
      <c r="D15" s="17">
        <v>12</v>
      </c>
      <c r="E15" s="17">
        <v>15</v>
      </c>
      <c r="F15" s="17">
        <v>14</v>
      </c>
      <c r="G15" s="18">
        <f t="shared" si="2"/>
        <v>36.44444444444445</v>
      </c>
      <c r="H15" s="18">
        <v>15</v>
      </c>
      <c r="I15" s="18">
        <v>21</v>
      </c>
      <c r="J15" s="18">
        <f t="shared" si="3"/>
        <v>36</v>
      </c>
      <c r="K15" s="18">
        <f t="shared" si="4"/>
        <v>72.444444444444457</v>
      </c>
    </row>
    <row r="16" spans="1:11" s="6" customFormat="1" ht="23.1" customHeight="1">
      <c r="A16" s="10">
        <v>8</v>
      </c>
      <c r="B16" s="15" t="s">
        <v>69</v>
      </c>
      <c r="C16" s="16">
        <v>6523109</v>
      </c>
      <c r="D16" s="17">
        <v>13</v>
      </c>
      <c r="E16" s="17">
        <v>15</v>
      </c>
      <c r="F16" s="17">
        <v>15</v>
      </c>
      <c r="G16" s="18">
        <f t="shared" si="2"/>
        <v>38.222222222222221</v>
      </c>
      <c r="H16" s="18">
        <v>14</v>
      </c>
      <c r="I16" s="18">
        <v>21</v>
      </c>
      <c r="J16" s="18">
        <f t="shared" si="3"/>
        <v>35</v>
      </c>
      <c r="K16" s="18">
        <f t="shared" si="4"/>
        <v>73.222222222222229</v>
      </c>
    </row>
    <row r="17" spans="1:11" s="6" customFormat="1" ht="23.1" customHeight="1">
      <c r="A17" s="10">
        <v>9</v>
      </c>
      <c r="B17" s="15" t="s">
        <v>60</v>
      </c>
      <c r="C17" s="16">
        <v>6520686</v>
      </c>
      <c r="D17" s="17">
        <v>13</v>
      </c>
      <c r="E17" s="17">
        <v>14</v>
      </c>
      <c r="F17" s="17">
        <v>12</v>
      </c>
      <c r="G17" s="18">
        <f t="shared" si="2"/>
        <v>34.666666666666671</v>
      </c>
      <c r="H17" s="18">
        <v>18</v>
      </c>
      <c r="I17" s="18">
        <v>22</v>
      </c>
      <c r="J17" s="18">
        <f t="shared" si="3"/>
        <v>40</v>
      </c>
      <c r="K17" s="18">
        <f t="shared" si="4"/>
        <v>74.666666666666671</v>
      </c>
    </row>
    <row r="18" spans="1:11" s="6" customFormat="1" ht="23.1" customHeight="1">
      <c r="A18" s="10">
        <v>10</v>
      </c>
      <c r="B18" s="15" t="s">
        <v>57</v>
      </c>
      <c r="C18" s="16">
        <v>5539025</v>
      </c>
      <c r="D18" s="17">
        <v>15</v>
      </c>
      <c r="E18" s="17">
        <v>15</v>
      </c>
      <c r="F18" s="17">
        <v>14</v>
      </c>
      <c r="G18" s="18">
        <f t="shared" si="2"/>
        <v>39.111111111111114</v>
      </c>
      <c r="H18" s="18">
        <v>12</v>
      </c>
      <c r="I18" s="18">
        <v>24</v>
      </c>
      <c r="J18" s="18">
        <f t="shared" si="3"/>
        <v>36</v>
      </c>
      <c r="K18" s="18">
        <f t="shared" si="4"/>
        <v>75.111111111111114</v>
      </c>
    </row>
    <row r="19" spans="1:11" s="6" customFormat="1" ht="23.1" customHeight="1">
      <c r="A19" s="10">
        <v>11</v>
      </c>
      <c r="B19" s="15" t="s">
        <v>67</v>
      </c>
      <c r="C19" s="16">
        <v>6307496</v>
      </c>
      <c r="D19" s="17">
        <v>15</v>
      </c>
      <c r="E19" s="17">
        <v>15</v>
      </c>
      <c r="F19" s="17">
        <v>15</v>
      </c>
      <c r="G19" s="18">
        <f t="shared" si="2"/>
        <v>40</v>
      </c>
      <c r="H19" s="18">
        <v>13</v>
      </c>
      <c r="I19" s="18">
        <v>21</v>
      </c>
      <c r="J19" s="18">
        <f t="shared" si="3"/>
        <v>34</v>
      </c>
      <c r="K19" s="18">
        <f t="shared" si="4"/>
        <v>74</v>
      </c>
    </row>
    <row r="20" spans="1:11" s="6" customFormat="1" ht="23.1" customHeight="1">
      <c r="A20" s="10">
        <v>12</v>
      </c>
      <c r="B20" s="15" t="s">
        <v>49</v>
      </c>
      <c r="C20" s="16">
        <v>5727220</v>
      </c>
      <c r="D20" s="17">
        <v>13</v>
      </c>
      <c r="E20" s="17">
        <v>15</v>
      </c>
      <c r="F20" s="17">
        <v>14</v>
      </c>
      <c r="G20" s="18">
        <f t="shared" si="2"/>
        <v>37.333333333333336</v>
      </c>
      <c r="H20" s="18">
        <v>17</v>
      </c>
      <c r="I20" s="18">
        <v>22</v>
      </c>
      <c r="J20" s="18">
        <f t="shared" si="3"/>
        <v>39</v>
      </c>
      <c r="K20" s="18">
        <f t="shared" si="4"/>
        <v>76.333333333333343</v>
      </c>
    </row>
    <row r="21" spans="1:11" s="6" customFormat="1" ht="23.1" customHeight="1">
      <c r="A21" s="10">
        <v>13</v>
      </c>
      <c r="B21" s="15" t="s">
        <v>65</v>
      </c>
      <c r="C21" s="16">
        <v>5998054</v>
      </c>
      <c r="D21" s="17">
        <v>15</v>
      </c>
      <c r="E21" s="17">
        <v>15</v>
      </c>
      <c r="F21" s="17">
        <v>14</v>
      </c>
      <c r="G21" s="18">
        <f t="shared" si="2"/>
        <v>39.111111111111114</v>
      </c>
      <c r="H21" s="18">
        <v>12</v>
      </c>
      <c r="I21" s="18">
        <v>23</v>
      </c>
      <c r="J21" s="18">
        <f t="shared" si="3"/>
        <v>35</v>
      </c>
      <c r="K21" s="18">
        <f t="shared" si="4"/>
        <v>74.111111111111114</v>
      </c>
    </row>
    <row r="22" spans="1:11" s="6" customFormat="1" ht="23.1" customHeight="1">
      <c r="A22" s="10">
        <v>14</v>
      </c>
      <c r="B22" s="15" t="s">
        <v>51</v>
      </c>
      <c r="C22" s="16">
        <v>5471365</v>
      </c>
      <c r="D22" s="17">
        <v>15</v>
      </c>
      <c r="E22" s="17">
        <v>15</v>
      </c>
      <c r="F22" s="17">
        <v>14</v>
      </c>
      <c r="G22" s="18">
        <f t="shared" si="2"/>
        <v>39.111111111111114</v>
      </c>
      <c r="H22" s="18">
        <v>15</v>
      </c>
      <c r="I22" s="18">
        <v>22</v>
      </c>
      <c r="J22" s="18">
        <f t="shared" si="3"/>
        <v>37</v>
      </c>
      <c r="K22" s="18">
        <f t="shared" si="4"/>
        <v>76.111111111111114</v>
      </c>
    </row>
    <row r="23" spans="1:11" s="6" customFormat="1" ht="23.1" customHeight="1">
      <c r="A23" s="10">
        <v>15</v>
      </c>
      <c r="B23" s="15" t="s">
        <v>52</v>
      </c>
      <c r="C23" s="16">
        <v>7572963</v>
      </c>
      <c r="D23" s="17">
        <v>15</v>
      </c>
      <c r="E23" s="17">
        <v>15</v>
      </c>
      <c r="F23" s="17">
        <v>15</v>
      </c>
      <c r="G23" s="18">
        <f t="shared" si="2"/>
        <v>40</v>
      </c>
      <c r="H23" s="18">
        <v>12</v>
      </c>
      <c r="I23" s="18">
        <v>24</v>
      </c>
      <c r="J23" s="18">
        <f t="shared" si="3"/>
        <v>36</v>
      </c>
      <c r="K23" s="18">
        <f t="shared" si="4"/>
        <v>76</v>
      </c>
    </row>
    <row r="24" spans="1:11" s="6" customFormat="1" ht="23.1" customHeight="1">
      <c r="A24" s="10">
        <v>16</v>
      </c>
      <c r="B24" s="15" t="s">
        <v>74</v>
      </c>
      <c r="C24" s="16">
        <v>5706975</v>
      </c>
      <c r="D24" s="17">
        <v>12</v>
      </c>
      <c r="E24" s="17">
        <v>13</v>
      </c>
      <c r="F24" s="17">
        <v>13</v>
      </c>
      <c r="G24" s="18">
        <f t="shared" si="2"/>
        <v>33.777777777777779</v>
      </c>
      <c r="H24" s="18">
        <v>21</v>
      </c>
      <c r="I24" s="18">
        <v>18</v>
      </c>
      <c r="J24" s="18">
        <f t="shared" si="3"/>
        <v>39</v>
      </c>
      <c r="K24" s="18">
        <f t="shared" si="4"/>
        <v>72.777777777777771</v>
      </c>
    </row>
    <row r="25" spans="1:11" s="6" customFormat="1" ht="23.1" customHeight="1">
      <c r="A25" s="10">
        <v>17</v>
      </c>
      <c r="B25" s="15" t="s">
        <v>66</v>
      </c>
      <c r="C25" s="16">
        <v>7453992</v>
      </c>
      <c r="D25" s="17">
        <v>15</v>
      </c>
      <c r="E25" s="17">
        <v>14</v>
      </c>
      <c r="F25" s="17">
        <v>15</v>
      </c>
      <c r="G25" s="18">
        <f t="shared" si="2"/>
        <v>39.111111111111114</v>
      </c>
      <c r="H25" s="18">
        <v>15</v>
      </c>
      <c r="I25" s="18">
        <v>20</v>
      </c>
      <c r="J25" s="18">
        <f t="shared" si="3"/>
        <v>35</v>
      </c>
      <c r="K25" s="18">
        <f t="shared" si="4"/>
        <v>74.111111111111114</v>
      </c>
    </row>
    <row r="26" spans="1:11" s="6" customFormat="1" ht="23.1" customHeight="1">
      <c r="A26" s="10">
        <v>18</v>
      </c>
      <c r="B26" s="15" t="s">
        <v>73</v>
      </c>
      <c r="C26" s="16">
        <v>5724960</v>
      </c>
      <c r="D26" s="17">
        <v>15</v>
      </c>
      <c r="E26" s="17">
        <v>15</v>
      </c>
      <c r="F26" s="17">
        <v>15</v>
      </c>
      <c r="G26" s="18">
        <f t="shared" si="2"/>
        <v>40</v>
      </c>
      <c r="H26" s="18">
        <v>14</v>
      </c>
      <c r="I26" s="18">
        <v>19</v>
      </c>
      <c r="J26" s="18">
        <f t="shared" si="3"/>
        <v>33</v>
      </c>
      <c r="K26" s="18">
        <f t="shared" si="4"/>
        <v>73</v>
      </c>
    </row>
    <row r="27" spans="1:11" s="6" customFormat="1" ht="23.1" customHeight="1">
      <c r="A27" s="10">
        <v>19</v>
      </c>
      <c r="B27" s="15" t="s">
        <v>75</v>
      </c>
      <c r="C27" s="16">
        <v>5843969</v>
      </c>
      <c r="D27" s="17">
        <v>13</v>
      </c>
      <c r="E27" s="17">
        <v>15</v>
      </c>
      <c r="F27" s="17">
        <v>13</v>
      </c>
      <c r="G27" s="18">
        <f t="shared" si="2"/>
        <v>36.44444444444445</v>
      </c>
      <c r="H27" s="18">
        <v>17</v>
      </c>
      <c r="I27" s="18">
        <v>19</v>
      </c>
      <c r="J27" s="18">
        <f t="shared" si="3"/>
        <v>36</v>
      </c>
      <c r="K27" s="18">
        <f t="shared" si="4"/>
        <v>72.444444444444457</v>
      </c>
    </row>
    <row r="28" spans="1:11" s="6" customFormat="1" ht="23.1" customHeight="1">
      <c r="A28" s="10">
        <v>20</v>
      </c>
      <c r="B28" s="15" t="s">
        <v>70</v>
      </c>
      <c r="C28" s="16">
        <v>6550849</v>
      </c>
      <c r="D28" s="17">
        <v>15</v>
      </c>
      <c r="E28" s="17">
        <v>14</v>
      </c>
      <c r="F28" s="17">
        <v>14</v>
      </c>
      <c r="G28" s="18">
        <f t="shared" si="2"/>
        <v>38.222222222222221</v>
      </c>
      <c r="H28" s="18">
        <v>12</v>
      </c>
      <c r="I28" s="18">
        <v>23</v>
      </c>
      <c r="J28" s="18">
        <f t="shared" si="3"/>
        <v>35</v>
      </c>
      <c r="K28" s="18">
        <f t="shared" si="4"/>
        <v>73.222222222222229</v>
      </c>
    </row>
    <row r="29" spans="1:11" s="6" customFormat="1" ht="23.1" customHeight="1">
      <c r="A29" s="10">
        <v>21</v>
      </c>
      <c r="B29" s="15" t="s">
        <v>71</v>
      </c>
      <c r="C29" s="16">
        <v>5680013</v>
      </c>
      <c r="D29" s="17">
        <v>13</v>
      </c>
      <c r="E29" s="17">
        <v>15</v>
      </c>
      <c r="F29" s="17">
        <v>15</v>
      </c>
      <c r="G29" s="18">
        <f t="shared" si="2"/>
        <v>38.222222222222221</v>
      </c>
      <c r="H29" s="18">
        <v>17</v>
      </c>
      <c r="I29" s="18">
        <v>18</v>
      </c>
      <c r="J29" s="18">
        <f t="shared" si="3"/>
        <v>35</v>
      </c>
      <c r="K29" s="18">
        <f t="shared" si="4"/>
        <v>73.222222222222229</v>
      </c>
    </row>
    <row r="30" spans="1:11" s="6" customFormat="1" ht="23.1" customHeight="1">
      <c r="A30" s="10">
        <v>22</v>
      </c>
      <c r="B30" s="15" t="s">
        <v>62</v>
      </c>
      <c r="C30" s="16">
        <v>5781993</v>
      </c>
      <c r="D30" s="17">
        <v>14</v>
      </c>
      <c r="E30" s="17">
        <v>14</v>
      </c>
      <c r="F30" s="17">
        <v>14</v>
      </c>
      <c r="G30" s="18">
        <f t="shared" si="2"/>
        <v>37.333333333333336</v>
      </c>
      <c r="H30" s="18">
        <v>14</v>
      </c>
      <c r="I30" s="18">
        <v>23</v>
      </c>
      <c r="J30" s="18">
        <f t="shared" si="3"/>
        <v>37</v>
      </c>
      <c r="K30" s="18">
        <f t="shared" si="4"/>
        <v>74.333333333333343</v>
      </c>
    </row>
    <row r="31" spans="1:11" s="6" customFormat="1" ht="23.1" customHeight="1">
      <c r="A31" s="10">
        <v>23</v>
      </c>
      <c r="B31" s="15" t="s">
        <v>58</v>
      </c>
      <c r="C31" s="16">
        <v>7885329</v>
      </c>
      <c r="D31" s="17">
        <v>14</v>
      </c>
      <c r="E31" s="17">
        <v>15</v>
      </c>
      <c r="F31" s="17">
        <v>15</v>
      </c>
      <c r="G31" s="18">
        <f t="shared" si="2"/>
        <v>39.111111111111114</v>
      </c>
      <c r="H31" s="18">
        <v>15</v>
      </c>
      <c r="I31" s="18">
        <v>21</v>
      </c>
      <c r="J31" s="18">
        <f t="shared" si="3"/>
        <v>36</v>
      </c>
      <c r="K31" s="18">
        <f t="shared" si="4"/>
        <v>75.111111111111114</v>
      </c>
    </row>
    <row r="32" spans="1:11" s="6" customFormat="1" ht="23.1" customHeight="1">
      <c r="A32" s="10">
        <v>24</v>
      </c>
      <c r="B32" s="15" t="s">
        <v>68</v>
      </c>
      <c r="C32" s="16">
        <v>6518994</v>
      </c>
      <c r="D32" s="17">
        <v>15</v>
      </c>
      <c r="E32" s="17">
        <v>15</v>
      </c>
      <c r="F32" s="17">
        <v>15</v>
      </c>
      <c r="G32" s="18">
        <f t="shared" si="2"/>
        <v>40</v>
      </c>
      <c r="H32" s="18">
        <v>14</v>
      </c>
      <c r="I32" s="18">
        <v>20</v>
      </c>
      <c r="J32" s="18">
        <f t="shared" si="3"/>
        <v>34</v>
      </c>
      <c r="K32" s="18">
        <f t="shared" si="4"/>
        <v>74</v>
      </c>
    </row>
    <row r="33" spans="1:11" s="6" customFormat="1" ht="23.1" customHeight="1">
      <c r="A33" s="10">
        <v>25</v>
      </c>
      <c r="B33" s="15" t="s">
        <v>53</v>
      </c>
      <c r="C33" s="16">
        <v>5665011</v>
      </c>
      <c r="D33" s="17">
        <v>15</v>
      </c>
      <c r="E33" s="17">
        <v>15</v>
      </c>
      <c r="F33" s="17">
        <v>15</v>
      </c>
      <c r="G33" s="18">
        <f t="shared" si="2"/>
        <v>40</v>
      </c>
      <c r="H33" s="18">
        <v>14</v>
      </c>
      <c r="I33" s="18">
        <v>22</v>
      </c>
      <c r="J33" s="18">
        <f t="shared" si="3"/>
        <v>36</v>
      </c>
      <c r="K33" s="18">
        <f t="shared" si="4"/>
        <v>76</v>
      </c>
    </row>
    <row r="34" spans="1:11" s="6" customFormat="1" ht="23.1" customHeight="1">
      <c r="A34" s="10">
        <v>26</v>
      </c>
      <c r="B34" s="15" t="s">
        <v>50</v>
      </c>
      <c r="C34" s="16">
        <v>5969228</v>
      </c>
      <c r="D34" s="17">
        <v>15</v>
      </c>
      <c r="E34" s="17">
        <v>15</v>
      </c>
      <c r="F34" s="17">
        <v>13</v>
      </c>
      <c r="G34" s="18">
        <f t="shared" si="2"/>
        <v>38.222222222222221</v>
      </c>
      <c r="H34" s="18">
        <v>16</v>
      </c>
      <c r="I34" s="18">
        <v>22</v>
      </c>
      <c r="J34" s="18">
        <f t="shared" si="3"/>
        <v>38</v>
      </c>
      <c r="K34" s="18">
        <f t="shared" si="4"/>
        <v>76.222222222222229</v>
      </c>
    </row>
    <row r="35" spans="1:11" s="6" customFormat="1" ht="23.1" customHeight="1">
      <c r="A35" s="10">
        <v>27</v>
      </c>
      <c r="B35" s="15" t="s">
        <v>55</v>
      </c>
      <c r="C35" s="16">
        <v>6523963</v>
      </c>
      <c r="D35" s="17">
        <v>15</v>
      </c>
      <c r="E35" s="17">
        <v>15</v>
      </c>
      <c r="F35" s="17">
        <v>13</v>
      </c>
      <c r="G35" s="18">
        <f t="shared" si="2"/>
        <v>38.222222222222221</v>
      </c>
      <c r="H35" s="18">
        <v>12</v>
      </c>
      <c r="I35" s="18">
        <v>25</v>
      </c>
      <c r="J35" s="18">
        <f t="shared" si="3"/>
        <v>37</v>
      </c>
      <c r="K35" s="18">
        <f t="shared" si="4"/>
        <v>75.222222222222229</v>
      </c>
    </row>
    <row r="36" spans="1:11" s="6" customFormat="1" ht="23.1" customHeight="1">
      <c r="A36" s="10">
        <v>28</v>
      </c>
      <c r="B36" s="15" t="s">
        <v>54</v>
      </c>
      <c r="C36" s="19">
        <v>5674203</v>
      </c>
      <c r="D36" s="15">
        <v>13</v>
      </c>
      <c r="E36" s="15">
        <v>12</v>
      </c>
      <c r="F36" s="15">
        <v>13</v>
      </c>
      <c r="G36" s="20">
        <f t="shared" si="2"/>
        <v>33.777777777777779</v>
      </c>
      <c r="H36" s="20">
        <v>21</v>
      </c>
      <c r="I36" s="20">
        <v>21</v>
      </c>
      <c r="J36" s="20">
        <f t="shared" si="3"/>
        <v>42</v>
      </c>
      <c r="K36" s="20">
        <f t="shared" si="4"/>
        <v>75.777777777777771</v>
      </c>
    </row>
  </sheetData>
  <sortState ref="B9:K36">
    <sortCondition ref="B9:B36"/>
  </sortState>
  <mergeCells count="14">
    <mergeCell ref="H6:I6"/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abSelected="1" workbookViewId="0">
      <selection activeCell="M14" sqref="M14"/>
    </sheetView>
  </sheetViews>
  <sheetFormatPr baseColWidth="10" defaultRowHeight="15"/>
  <cols>
    <col min="1" max="1" width="4.85546875" bestFit="1" customWidth="1"/>
    <col min="2" max="2" width="47.28515625" customWidth="1"/>
    <col min="3" max="3" width="10.5703125" customWidth="1"/>
    <col min="4" max="6" width="5.7109375" customWidth="1"/>
    <col min="7" max="11" width="6.7109375" customWidth="1"/>
  </cols>
  <sheetData>
    <row r="1" spans="1:13">
      <c r="A1" s="28" t="s">
        <v>105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3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3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3">
      <c r="A4" s="28" t="s">
        <v>20</v>
      </c>
      <c r="B4" s="28"/>
      <c r="C4" s="28"/>
      <c r="D4" s="28"/>
      <c r="E4" s="28"/>
      <c r="F4" s="28"/>
      <c r="G4" s="28"/>
      <c r="H4" s="28"/>
      <c r="I4" s="28"/>
      <c r="J4" s="28"/>
      <c r="K4" s="28"/>
    </row>
    <row r="5" spans="1:13" ht="15.75">
      <c r="A5" s="30" t="s">
        <v>18</v>
      </c>
      <c r="B5" s="30"/>
      <c r="C5" s="30"/>
      <c r="D5" s="30"/>
      <c r="E5" s="30"/>
      <c r="F5" s="30"/>
      <c r="G5" s="30"/>
      <c r="H5" s="30"/>
      <c r="I5" s="30"/>
      <c r="J5" s="30"/>
      <c r="K5" s="30"/>
    </row>
    <row r="6" spans="1:13" ht="35.1" customHeight="1">
      <c r="A6" s="31" t="s">
        <v>2</v>
      </c>
      <c r="B6" s="31" t="s">
        <v>3</v>
      </c>
      <c r="C6" s="32" t="s">
        <v>4</v>
      </c>
      <c r="D6" s="33" t="s">
        <v>5</v>
      </c>
      <c r="E6" s="33"/>
      <c r="F6" s="33"/>
      <c r="G6" s="23" t="s">
        <v>6</v>
      </c>
      <c r="H6" s="21" t="s">
        <v>7</v>
      </c>
      <c r="I6" s="22"/>
      <c r="J6" s="23" t="s">
        <v>8</v>
      </c>
      <c r="K6" s="23" t="s">
        <v>9</v>
      </c>
    </row>
    <row r="7" spans="1:13" ht="30" customHeight="1">
      <c r="A7" s="31"/>
      <c r="B7" s="31"/>
      <c r="C7" s="32"/>
      <c r="D7" s="5" t="s">
        <v>10</v>
      </c>
      <c r="E7" s="5" t="s">
        <v>11</v>
      </c>
      <c r="F7" s="5" t="s">
        <v>12</v>
      </c>
      <c r="G7" s="24"/>
      <c r="H7" s="4" t="s">
        <v>13</v>
      </c>
      <c r="I7" s="4" t="s">
        <v>14</v>
      </c>
      <c r="J7" s="24"/>
      <c r="K7" s="24"/>
    </row>
    <row r="8" spans="1:13">
      <c r="A8" s="25" t="s">
        <v>15</v>
      </c>
      <c r="B8" s="26"/>
      <c r="C8" s="27"/>
      <c r="D8" s="1">
        <v>15</v>
      </c>
      <c r="E8" s="1">
        <v>15</v>
      </c>
      <c r="F8" s="1">
        <v>15</v>
      </c>
      <c r="G8" s="2">
        <f t="shared" ref="G8" si="0">SUM(D8:F8)*100/45*0.4</f>
        <v>40</v>
      </c>
      <c r="H8" s="1">
        <v>30</v>
      </c>
      <c r="I8" s="1">
        <v>30</v>
      </c>
      <c r="J8" s="2">
        <f t="shared" ref="J8" si="1">SUM(H8:I8)</f>
        <v>60</v>
      </c>
      <c r="K8" s="3">
        <f>J8+G8</f>
        <v>100</v>
      </c>
    </row>
    <row r="9" spans="1:13" s="6" customFormat="1" ht="23.1" customHeight="1">
      <c r="A9" s="10">
        <v>1</v>
      </c>
      <c r="B9" s="15" t="s">
        <v>100</v>
      </c>
      <c r="C9" s="16">
        <v>5651243</v>
      </c>
      <c r="D9" s="17">
        <v>13</v>
      </c>
      <c r="E9" s="17">
        <v>13</v>
      </c>
      <c r="F9" s="17">
        <v>15</v>
      </c>
      <c r="G9" s="18">
        <f t="shared" ref="G9:G33" si="2">SUM(D9:F9)*100/45*0.4</f>
        <v>36.44444444444445</v>
      </c>
      <c r="H9" s="18">
        <v>9</v>
      </c>
      <c r="I9" s="18">
        <v>22</v>
      </c>
      <c r="J9" s="18">
        <f t="shared" ref="J9:J33" si="3">SUM(H9:I9)</f>
        <v>31</v>
      </c>
      <c r="K9" s="18">
        <f t="shared" ref="K9:K33" si="4">G9+J9</f>
        <v>67.444444444444457</v>
      </c>
    </row>
    <row r="10" spans="1:13" s="6" customFormat="1" ht="23.1" customHeight="1">
      <c r="A10" s="10">
        <v>2</v>
      </c>
      <c r="B10" s="15" t="s">
        <v>99</v>
      </c>
      <c r="C10" s="16">
        <v>5634069</v>
      </c>
      <c r="D10" s="17">
        <v>14</v>
      </c>
      <c r="E10" s="17">
        <v>15</v>
      </c>
      <c r="F10" s="17">
        <v>9</v>
      </c>
      <c r="G10" s="18">
        <f t="shared" si="2"/>
        <v>33.777777777777779</v>
      </c>
      <c r="H10" s="18">
        <v>15</v>
      </c>
      <c r="I10" s="18">
        <v>19</v>
      </c>
      <c r="J10" s="18">
        <f t="shared" si="3"/>
        <v>34</v>
      </c>
      <c r="K10" s="18">
        <f t="shared" si="4"/>
        <v>67.777777777777771</v>
      </c>
    </row>
    <row r="11" spans="1:13" s="6" customFormat="1" ht="23.1" customHeight="1">
      <c r="A11" s="10">
        <v>3</v>
      </c>
      <c r="B11" s="15" t="s">
        <v>89</v>
      </c>
      <c r="C11" s="16">
        <v>5528249</v>
      </c>
      <c r="D11" s="17">
        <v>15</v>
      </c>
      <c r="E11" s="17">
        <v>15</v>
      </c>
      <c r="F11" s="17">
        <v>13</v>
      </c>
      <c r="G11" s="18">
        <f t="shared" si="2"/>
        <v>38.222222222222221</v>
      </c>
      <c r="H11" s="18">
        <v>13</v>
      </c>
      <c r="I11" s="18">
        <v>19</v>
      </c>
      <c r="J11" s="18">
        <f t="shared" si="3"/>
        <v>32</v>
      </c>
      <c r="K11" s="18">
        <f t="shared" si="4"/>
        <v>70.222222222222229</v>
      </c>
    </row>
    <row r="12" spans="1:13" s="6" customFormat="1" ht="23.1" customHeight="1">
      <c r="A12" s="10">
        <v>4</v>
      </c>
      <c r="B12" s="15" t="s">
        <v>77</v>
      </c>
      <c r="C12" s="16">
        <v>6714025</v>
      </c>
      <c r="D12" s="17">
        <v>13</v>
      </c>
      <c r="E12" s="17">
        <v>14</v>
      </c>
      <c r="F12" s="17">
        <v>15</v>
      </c>
      <c r="G12" s="18">
        <f t="shared" si="2"/>
        <v>37.333333333333336</v>
      </c>
      <c r="H12" s="18">
        <v>10</v>
      </c>
      <c r="I12" s="18">
        <v>25</v>
      </c>
      <c r="J12" s="18">
        <f t="shared" si="3"/>
        <v>35</v>
      </c>
      <c r="K12" s="18">
        <f t="shared" si="4"/>
        <v>72.333333333333343</v>
      </c>
      <c r="M12" s="6" t="s">
        <v>19</v>
      </c>
    </row>
    <row r="13" spans="1:13" s="6" customFormat="1" ht="23.1" customHeight="1">
      <c r="A13" s="10">
        <v>5</v>
      </c>
      <c r="B13" s="15" t="s">
        <v>79</v>
      </c>
      <c r="C13" s="16">
        <v>5780311</v>
      </c>
      <c r="D13" s="17">
        <v>15</v>
      </c>
      <c r="E13" s="17">
        <v>15</v>
      </c>
      <c r="F13" s="17">
        <v>15</v>
      </c>
      <c r="G13" s="18">
        <f t="shared" si="2"/>
        <v>40</v>
      </c>
      <c r="H13" s="18">
        <v>11</v>
      </c>
      <c r="I13" s="18">
        <v>21</v>
      </c>
      <c r="J13" s="18">
        <f t="shared" si="3"/>
        <v>32</v>
      </c>
      <c r="K13" s="18">
        <f t="shared" si="4"/>
        <v>72</v>
      </c>
    </row>
    <row r="14" spans="1:13" s="6" customFormat="1" ht="23.1" customHeight="1">
      <c r="A14" s="10">
        <v>6</v>
      </c>
      <c r="B14" s="15" t="s">
        <v>92</v>
      </c>
      <c r="C14" s="16">
        <v>7535908</v>
      </c>
      <c r="D14" s="17">
        <v>15</v>
      </c>
      <c r="E14" s="17">
        <v>13</v>
      </c>
      <c r="F14" s="17">
        <v>15</v>
      </c>
      <c r="G14" s="18">
        <f t="shared" si="2"/>
        <v>38.222222222222221</v>
      </c>
      <c r="H14" s="18">
        <v>13</v>
      </c>
      <c r="I14" s="18">
        <v>18</v>
      </c>
      <c r="J14" s="18">
        <f t="shared" si="3"/>
        <v>31</v>
      </c>
      <c r="K14" s="18">
        <f t="shared" si="4"/>
        <v>69.222222222222229</v>
      </c>
    </row>
    <row r="15" spans="1:13" s="6" customFormat="1" ht="23.1" customHeight="1">
      <c r="A15" s="10">
        <v>7</v>
      </c>
      <c r="B15" s="15" t="s">
        <v>80</v>
      </c>
      <c r="C15" s="16">
        <v>5553971</v>
      </c>
      <c r="D15" s="17">
        <v>11</v>
      </c>
      <c r="E15" s="17">
        <v>14</v>
      </c>
      <c r="F15" s="17">
        <v>15</v>
      </c>
      <c r="G15" s="18">
        <f t="shared" si="2"/>
        <v>35.555555555555557</v>
      </c>
      <c r="H15" s="18">
        <v>14</v>
      </c>
      <c r="I15" s="18">
        <v>22</v>
      </c>
      <c r="J15" s="18">
        <f t="shared" si="3"/>
        <v>36</v>
      </c>
      <c r="K15" s="18">
        <f t="shared" si="4"/>
        <v>71.555555555555557</v>
      </c>
    </row>
    <row r="16" spans="1:13" s="6" customFormat="1" ht="23.1" customHeight="1">
      <c r="A16" s="10">
        <v>8</v>
      </c>
      <c r="B16" s="15" t="s">
        <v>81</v>
      </c>
      <c r="C16" s="16">
        <v>6166136</v>
      </c>
      <c r="D16" s="17">
        <v>14</v>
      </c>
      <c r="E16" s="17">
        <v>12</v>
      </c>
      <c r="F16" s="17">
        <v>14</v>
      </c>
      <c r="G16" s="18">
        <f t="shared" si="2"/>
        <v>35.555555555555557</v>
      </c>
      <c r="H16" s="18">
        <v>16</v>
      </c>
      <c r="I16" s="18">
        <v>20</v>
      </c>
      <c r="J16" s="18">
        <f t="shared" si="3"/>
        <v>36</v>
      </c>
      <c r="K16" s="18">
        <f t="shared" si="4"/>
        <v>71.555555555555557</v>
      </c>
    </row>
    <row r="17" spans="1:11" s="6" customFormat="1" ht="23.1" customHeight="1">
      <c r="A17" s="10">
        <v>9</v>
      </c>
      <c r="B17" s="15" t="s">
        <v>87</v>
      </c>
      <c r="C17" s="16">
        <v>5838810</v>
      </c>
      <c r="D17" s="17">
        <v>12</v>
      </c>
      <c r="E17" s="17">
        <v>12</v>
      </c>
      <c r="F17" s="17">
        <v>15</v>
      </c>
      <c r="G17" s="18">
        <f t="shared" si="2"/>
        <v>34.666666666666671</v>
      </c>
      <c r="H17" s="18">
        <v>15</v>
      </c>
      <c r="I17" s="18">
        <v>21</v>
      </c>
      <c r="J17" s="18">
        <f t="shared" si="3"/>
        <v>36</v>
      </c>
      <c r="K17" s="18">
        <f t="shared" si="4"/>
        <v>70.666666666666671</v>
      </c>
    </row>
    <row r="18" spans="1:11" s="6" customFormat="1" ht="23.1" customHeight="1">
      <c r="A18" s="10">
        <v>10</v>
      </c>
      <c r="B18" s="15" t="s">
        <v>85</v>
      </c>
      <c r="C18" s="16">
        <v>5888786</v>
      </c>
      <c r="D18" s="17">
        <v>15</v>
      </c>
      <c r="E18" s="17">
        <v>15</v>
      </c>
      <c r="F18" s="17">
        <v>15</v>
      </c>
      <c r="G18" s="18">
        <f t="shared" si="2"/>
        <v>40</v>
      </c>
      <c r="H18" s="18">
        <v>14</v>
      </c>
      <c r="I18" s="18">
        <v>17</v>
      </c>
      <c r="J18" s="18">
        <f t="shared" si="3"/>
        <v>31</v>
      </c>
      <c r="K18" s="18">
        <f t="shared" si="4"/>
        <v>71</v>
      </c>
    </row>
    <row r="19" spans="1:11" s="6" customFormat="1" ht="23.1" customHeight="1">
      <c r="A19" s="10">
        <v>11</v>
      </c>
      <c r="B19" s="15" t="s">
        <v>86</v>
      </c>
      <c r="C19" s="16">
        <v>5797107</v>
      </c>
      <c r="D19" s="17">
        <v>15</v>
      </c>
      <c r="E19" s="17">
        <v>15</v>
      </c>
      <c r="F19" s="17">
        <v>15</v>
      </c>
      <c r="G19" s="18">
        <f t="shared" si="2"/>
        <v>40</v>
      </c>
      <c r="H19" s="18">
        <v>11</v>
      </c>
      <c r="I19" s="18">
        <v>20</v>
      </c>
      <c r="J19" s="18">
        <f t="shared" si="3"/>
        <v>31</v>
      </c>
      <c r="K19" s="18">
        <f t="shared" si="4"/>
        <v>71</v>
      </c>
    </row>
    <row r="20" spans="1:11" s="6" customFormat="1" ht="23.1" customHeight="1">
      <c r="A20" s="10">
        <v>12</v>
      </c>
      <c r="B20" s="15" t="s">
        <v>93</v>
      </c>
      <c r="C20" s="16">
        <v>6551885</v>
      </c>
      <c r="D20" s="17">
        <v>9</v>
      </c>
      <c r="E20" s="17">
        <v>11</v>
      </c>
      <c r="F20" s="17">
        <v>14</v>
      </c>
      <c r="G20" s="18">
        <f t="shared" si="2"/>
        <v>30.222222222222225</v>
      </c>
      <c r="H20" s="18">
        <v>15</v>
      </c>
      <c r="I20" s="18">
        <v>24</v>
      </c>
      <c r="J20" s="18">
        <f t="shared" si="3"/>
        <v>39</v>
      </c>
      <c r="K20" s="18">
        <f t="shared" si="4"/>
        <v>69.222222222222229</v>
      </c>
    </row>
    <row r="21" spans="1:11" s="6" customFormat="1" ht="23.1" customHeight="1">
      <c r="A21" s="10">
        <v>13</v>
      </c>
      <c r="B21" s="15" t="s">
        <v>90</v>
      </c>
      <c r="C21" s="16">
        <v>6728584</v>
      </c>
      <c r="D21" s="17">
        <v>15</v>
      </c>
      <c r="E21" s="17">
        <v>15</v>
      </c>
      <c r="F21" s="17">
        <v>15</v>
      </c>
      <c r="G21" s="18">
        <f t="shared" si="2"/>
        <v>40</v>
      </c>
      <c r="H21" s="18">
        <v>10</v>
      </c>
      <c r="I21" s="18">
        <v>20</v>
      </c>
      <c r="J21" s="18">
        <f t="shared" si="3"/>
        <v>30</v>
      </c>
      <c r="K21" s="18">
        <f t="shared" si="4"/>
        <v>70</v>
      </c>
    </row>
    <row r="22" spans="1:11" s="6" customFormat="1" ht="23.1" customHeight="1">
      <c r="A22" s="10">
        <v>14</v>
      </c>
      <c r="B22" s="15" t="s">
        <v>88</v>
      </c>
      <c r="C22" s="16">
        <v>5610307</v>
      </c>
      <c r="D22" s="17">
        <v>15</v>
      </c>
      <c r="E22" s="17">
        <v>15</v>
      </c>
      <c r="F22" s="17">
        <v>11</v>
      </c>
      <c r="G22" s="18">
        <f t="shared" si="2"/>
        <v>36.44444444444445</v>
      </c>
      <c r="H22" s="18">
        <v>13</v>
      </c>
      <c r="I22" s="18">
        <v>21</v>
      </c>
      <c r="J22" s="18">
        <f t="shared" si="3"/>
        <v>34</v>
      </c>
      <c r="K22" s="18">
        <f t="shared" si="4"/>
        <v>70.444444444444457</v>
      </c>
    </row>
    <row r="23" spans="1:11" s="6" customFormat="1" ht="23.1" customHeight="1">
      <c r="A23" s="10">
        <v>15</v>
      </c>
      <c r="B23" s="15" t="s">
        <v>91</v>
      </c>
      <c r="C23" s="16">
        <v>5779977</v>
      </c>
      <c r="D23" s="17">
        <v>15</v>
      </c>
      <c r="E23" s="17">
        <v>15</v>
      </c>
      <c r="F23" s="17">
        <v>15</v>
      </c>
      <c r="G23" s="18">
        <f t="shared" si="2"/>
        <v>40</v>
      </c>
      <c r="H23" s="18">
        <v>10</v>
      </c>
      <c r="I23" s="18">
        <v>20</v>
      </c>
      <c r="J23" s="18">
        <f t="shared" si="3"/>
        <v>30</v>
      </c>
      <c r="K23" s="18">
        <f t="shared" si="4"/>
        <v>70</v>
      </c>
    </row>
    <row r="24" spans="1:11" s="6" customFormat="1" ht="23.1" customHeight="1">
      <c r="A24" s="10">
        <v>16</v>
      </c>
      <c r="B24" s="15" t="s">
        <v>98</v>
      </c>
      <c r="C24" s="16">
        <v>5985919</v>
      </c>
      <c r="D24" s="17">
        <v>14</v>
      </c>
      <c r="E24" s="17">
        <v>14</v>
      </c>
      <c r="F24" s="17">
        <v>14</v>
      </c>
      <c r="G24" s="18">
        <f t="shared" si="2"/>
        <v>37.333333333333336</v>
      </c>
      <c r="H24" s="18">
        <v>15</v>
      </c>
      <c r="I24" s="18">
        <v>16</v>
      </c>
      <c r="J24" s="18">
        <f t="shared" si="3"/>
        <v>31</v>
      </c>
      <c r="K24" s="18">
        <f t="shared" si="4"/>
        <v>68.333333333333343</v>
      </c>
    </row>
    <row r="25" spans="1:11" s="6" customFormat="1" ht="23.1" customHeight="1">
      <c r="A25" s="10">
        <v>17</v>
      </c>
      <c r="B25" s="15" t="s">
        <v>95</v>
      </c>
      <c r="C25" s="16">
        <v>6263770</v>
      </c>
      <c r="D25" s="17">
        <v>12</v>
      </c>
      <c r="E25" s="17">
        <v>12</v>
      </c>
      <c r="F25" s="17">
        <v>14</v>
      </c>
      <c r="G25" s="18">
        <f t="shared" si="2"/>
        <v>33.777777777777779</v>
      </c>
      <c r="H25" s="18">
        <v>13</v>
      </c>
      <c r="I25" s="18">
        <v>22</v>
      </c>
      <c r="J25" s="18">
        <f t="shared" si="3"/>
        <v>35</v>
      </c>
      <c r="K25" s="18">
        <f t="shared" si="4"/>
        <v>68.777777777777771</v>
      </c>
    </row>
    <row r="26" spans="1:11" s="6" customFormat="1" ht="23.1" customHeight="1">
      <c r="A26" s="10">
        <v>18</v>
      </c>
      <c r="B26" s="15" t="s">
        <v>94</v>
      </c>
      <c r="C26" s="16">
        <v>6035174</v>
      </c>
      <c r="D26" s="17">
        <v>15</v>
      </c>
      <c r="E26" s="17">
        <v>14</v>
      </c>
      <c r="F26" s="17">
        <v>14</v>
      </c>
      <c r="G26" s="18">
        <f t="shared" si="2"/>
        <v>38.222222222222221</v>
      </c>
      <c r="H26" s="18">
        <v>14</v>
      </c>
      <c r="I26" s="18">
        <v>17</v>
      </c>
      <c r="J26" s="18">
        <f t="shared" si="3"/>
        <v>31</v>
      </c>
      <c r="K26" s="18">
        <f t="shared" si="4"/>
        <v>69.222222222222229</v>
      </c>
    </row>
    <row r="27" spans="1:11" s="6" customFormat="1" ht="23.1" customHeight="1">
      <c r="A27" s="10">
        <v>19</v>
      </c>
      <c r="B27" s="15" t="s">
        <v>96</v>
      </c>
      <c r="C27" s="16">
        <v>6522559</v>
      </c>
      <c r="D27" s="17">
        <v>12</v>
      </c>
      <c r="E27" s="17">
        <v>13</v>
      </c>
      <c r="F27" s="17">
        <v>14</v>
      </c>
      <c r="G27" s="18">
        <f t="shared" si="2"/>
        <v>34.666666666666671</v>
      </c>
      <c r="H27" s="18">
        <v>14</v>
      </c>
      <c r="I27" s="18">
        <v>20</v>
      </c>
      <c r="J27" s="18">
        <f t="shared" si="3"/>
        <v>34</v>
      </c>
      <c r="K27" s="18">
        <f t="shared" si="4"/>
        <v>68.666666666666671</v>
      </c>
    </row>
    <row r="28" spans="1:11" s="6" customFormat="1" ht="23.1" customHeight="1">
      <c r="A28" s="10">
        <v>20</v>
      </c>
      <c r="B28" s="15" t="s">
        <v>82</v>
      </c>
      <c r="C28" s="16">
        <v>6845388</v>
      </c>
      <c r="D28" s="17">
        <v>13</v>
      </c>
      <c r="E28" s="17">
        <v>14</v>
      </c>
      <c r="F28" s="17">
        <v>14</v>
      </c>
      <c r="G28" s="18">
        <f t="shared" si="2"/>
        <v>36.44444444444445</v>
      </c>
      <c r="H28" s="18">
        <v>16</v>
      </c>
      <c r="I28" s="18">
        <v>19</v>
      </c>
      <c r="J28" s="18">
        <f t="shared" si="3"/>
        <v>35</v>
      </c>
      <c r="K28" s="18">
        <f t="shared" si="4"/>
        <v>71.444444444444457</v>
      </c>
    </row>
    <row r="29" spans="1:11" s="6" customFormat="1" ht="23.1" customHeight="1">
      <c r="A29" s="10">
        <v>21</v>
      </c>
      <c r="B29" s="15" t="s">
        <v>84</v>
      </c>
      <c r="C29" s="16">
        <v>8260665</v>
      </c>
      <c r="D29" s="17">
        <v>10</v>
      </c>
      <c r="E29" s="17">
        <v>11</v>
      </c>
      <c r="F29" s="17">
        <v>11</v>
      </c>
      <c r="G29" s="18">
        <f t="shared" si="2"/>
        <v>28.444444444444446</v>
      </c>
      <c r="H29" s="18">
        <v>20</v>
      </c>
      <c r="I29" s="18">
        <v>23</v>
      </c>
      <c r="J29" s="18">
        <f t="shared" si="3"/>
        <v>43</v>
      </c>
      <c r="K29" s="18">
        <f t="shared" si="4"/>
        <v>71.444444444444443</v>
      </c>
    </row>
    <row r="30" spans="1:11" s="6" customFormat="1" ht="23.1" customHeight="1">
      <c r="A30" s="10">
        <v>22</v>
      </c>
      <c r="B30" s="15" t="s">
        <v>101</v>
      </c>
      <c r="C30" s="16">
        <v>5988238</v>
      </c>
      <c r="D30" s="17">
        <v>15</v>
      </c>
      <c r="E30" s="17">
        <v>15</v>
      </c>
      <c r="F30" s="17">
        <v>11</v>
      </c>
      <c r="G30" s="18">
        <f t="shared" si="2"/>
        <v>36.44444444444445</v>
      </c>
      <c r="H30" s="18">
        <v>14</v>
      </c>
      <c r="I30" s="18">
        <v>17</v>
      </c>
      <c r="J30" s="18">
        <f t="shared" si="3"/>
        <v>31</v>
      </c>
      <c r="K30" s="18">
        <f t="shared" si="4"/>
        <v>67.444444444444457</v>
      </c>
    </row>
    <row r="31" spans="1:11" s="6" customFormat="1" ht="23.1" customHeight="1">
      <c r="A31" s="10">
        <v>23</v>
      </c>
      <c r="B31" s="15" t="s">
        <v>97</v>
      </c>
      <c r="C31" s="16">
        <v>5807536</v>
      </c>
      <c r="D31" s="17">
        <v>12</v>
      </c>
      <c r="E31" s="17">
        <v>15</v>
      </c>
      <c r="F31" s="17">
        <v>14</v>
      </c>
      <c r="G31" s="18">
        <f t="shared" si="2"/>
        <v>36.44444444444445</v>
      </c>
      <c r="H31" s="18">
        <v>9</v>
      </c>
      <c r="I31" s="18">
        <v>23</v>
      </c>
      <c r="J31" s="18">
        <f t="shared" si="3"/>
        <v>32</v>
      </c>
      <c r="K31" s="18">
        <f t="shared" si="4"/>
        <v>68.444444444444457</v>
      </c>
    </row>
    <row r="32" spans="1:11" s="6" customFormat="1" ht="23.1" customHeight="1">
      <c r="A32" s="10">
        <v>24</v>
      </c>
      <c r="B32" s="15" t="s">
        <v>78</v>
      </c>
      <c r="C32" s="16">
        <v>5555321</v>
      </c>
      <c r="D32" s="17">
        <v>14</v>
      </c>
      <c r="E32" s="17">
        <v>15</v>
      </c>
      <c r="F32" s="17">
        <v>15</v>
      </c>
      <c r="G32" s="18">
        <f t="shared" si="2"/>
        <v>39.111111111111114</v>
      </c>
      <c r="H32" s="18">
        <v>9</v>
      </c>
      <c r="I32" s="18">
        <v>24</v>
      </c>
      <c r="J32" s="18">
        <f t="shared" si="3"/>
        <v>33</v>
      </c>
      <c r="K32" s="18">
        <f t="shared" si="4"/>
        <v>72.111111111111114</v>
      </c>
    </row>
    <row r="33" spans="1:11" s="6" customFormat="1" ht="23.1" customHeight="1">
      <c r="A33" s="10">
        <v>25</v>
      </c>
      <c r="B33" s="15" t="s">
        <v>83</v>
      </c>
      <c r="C33" s="16">
        <v>46707430</v>
      </c>
      <c r="D33" s="17">
        <v>12</v>
      </c>
      <c r="E33" s="17">
        <v>14</v>
      </c>
      <c r="F33" s="17">
        <v>15</v>
      </c>
      <c r="G33" s="18">
        <f t="shared" si="2"/>
        <v>36.44444444444445</v>
      </c>
      <c r="H33" s="18">
        <v>15</v>
      </c>
      <c r="I33" s="18">
        <v>20</v>
      </c>
      <c r="J33" s="18">
        <f t="shared" si="3"/>
        <v>35</v>
      </c>
      <c r="K33" s="18">
        <f t="shared" si="4"/>
        <v>71.444444444444457</v>
      </c>
    </row>
    <row r="34" spans="1:11" s="6" customFormat="1" ht="23.1" customHeight="1">
      <c r="A34" s="10">
        <v>26</v>
      </c>
      <c r="B34" s="11" t="s">
        <v>102</v>
      </c>
      <c r="C34" s="12">
        <v>7601960</v>
      </c>
      <c r="D34" s="13">
        <v>12</v>
      </c>
      <c r="E34" s="13">
        <v>11</v>
      </c>
      <c r="F34" s="13">
        <v>14</v>
      </c>
      <c r="G34" s="14">
        <f t="shared" ref="G34:G36" si="5">SUM(D34:F34)*100/45*0.4</f>
        <v>32.888888888888893</v>
      </c>
      <c r="H34" s="14">
        <v>15</v>
      </c>
      <c r="I34" s="14">
        <v>19</v>
      </c>
      <c r="J34" s="14">
        <f t="shared" ref="J34:J36" si="6">SUM(H34:I34)</f>
        <v>34</v>
      </c>
      <c r="K34" s="14">
        <f t="shared" ref="K34:K36" si="7">G34+J34</f>
        <v>66.888888888888886</v>
      </c>
    </row>
    <row r="35" spans="1:11" s="6" customFormat="1" ht="23.1" customHeight="1">
      <c r="A35" s="10">
        <v>27</v>
      </c>
      <c r="B35" s="11" t="s">
        <v>103</v>
      </c>
      <c r="C35" s="12">
        <v>5754994</v>
      </c>
      <c r="D35" s="13">
        <v>11</v>
      </c>
      <c r="E35" s="13">
        <v>13</v>
      </c>
      <c r="F35" s="13">
        <v>14</v>
      </c>
      <c r="G35" s="14">
        <f t="shared" si="5"/>
        <v>33.777777777777779</v>
      </c>
      <c r="H35" s="14">
        <v>14</v>
      </c>
      <c r="I35" s="14">
        <v>19</v>
      </c>
      <c r="J35" s="14">
        <f t="shared" si="6"/>
        <v>33</v>
      </c>
      <c r="K35" s="14">
        <f t="shared" si="7"/>
        <v>66.777777777777771</v>
      </c>
    </row>
    <row r="36" spans="1:11" s="6" customFormat="1" ht="23.1" customHeight="1">
      <c r="A36" s="10">
        <v>28</v>
      </c>
      <c r="B36" s="11" t="s">
        <v>104</v>
      </c>
      <c r="C36" s="12">
        <v>6579654</v>
      </c>
      <c r="D36" s="13">
        <v>12</v>
      </c>
      <c r="E36" s="13">
        <v>12</v>
      </c>
      <c r="F36" s="13">
        <v>15</v>
      </c>
      <c r="G36" s="14">
        <f t="shared" si="5"/>
        <v>34.666666666666671</v>
      </c>
      <c r="H36" s="14">
        <v>20</v>
      </c>
      <c r="I36" s="14">
        <v>12</v>
      </c>
      <c r="J36" s="14">
        <f t="shared" si="6"/>
        <v>32</v>
      </c>
      <c r="K36" s="14">
        <f t="shared" si="7"/>
        <v>66.666666666666671</v>
      </c>
    </row>
    <row r="37" spans="1:11">
      <c r="B37" s="9"/>
      <c r="C37" s="9"/>
      <c r="D37" s="9"/>
      <c r="E37" s="9"/>
      <c r="F37" s="9"/>
      <c r="G37" s="9"/>
      <c r="H37" s="9"/>
      <c r="I37" s="9"/>
      <c r="J37" s="9"/>
      <c r="K37" s="9"/>
    </row>
  </sheetData>
  <sortState ref="B9:K33">
    <sortCondition ref="B9:B33"/>
  </sortState>
  <mergeCells count="14">
    <mergeCell ref="H6:I6"/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CC (1)</vt:lpstr>
      <vt:lpstr>CC (2)</vt:lpstr>
      <vt:lpstr>CC(3)</vt:lpstr>
      <vt:lpstr>'CC (1)'!Títulos_a_imprimir</vt:lpstr>
      <vt:lpstr>'CC (2)'!Títulos_a_imprimir</vt:lpstr>
      <vt:lpstr>'CC(3)'!Títulos_a_imprimir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2020-02-24T10:25:18Z</cp:lastPrinted>
  <dcterms:created xsi:type="dcterms:W3CDTF">2016-02-17T13:19:12Z</dcterms:created>
  <dcterms:modified xsi:type="dcterms:W3CDTF">2021-03-08T22:26:33Z</dcterms:modified>
</cp:coreProperties>
</file>