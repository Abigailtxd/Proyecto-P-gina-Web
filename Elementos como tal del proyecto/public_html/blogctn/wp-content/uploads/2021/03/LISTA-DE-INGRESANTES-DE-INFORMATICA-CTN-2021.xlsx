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ocuments\"/>
    </mc:Choice>
  </mc:AlternateContent>
  <bookViews>
    <workbookView xWindow="240" yWindow="75" windowWidth="20055" windowHeight="7935" tabRatio="924"/>
  </bookViews>
  <sheets>
    <sheet name="INFO(1)" sheetId="56" r:id="rId1"/>
    <sheet name="INFO(2)" sheetId="21" r:id="rId2"/>
  </sheets>
  <definedNames>
    <definedName name="_xlnm.Print_Titles" localSheetId="0">'INFO(1)'!$1:$8</definedName>
    <definedName name="_xlnm.Print_Titles" localSheetId="1">'INFO(2)'!$1:$8</definedName>
  </definedNames>
  <calcPr calcId="152511"/>
  <fileRecoveryPr autoRecover="0"/>
</workbook>
</file>

<file path=xl/calcChain.xml><?xml version="1.0" encoding="utf-8"?>
<calcChain xmlns="http://schemas.openxmlformats.org/spreadsheetml/2006/main">
  <c r="J15" i="21" l="1"/>
  <c r="G15" i="21"/>
  <c r="K15" i="21" s="1"/>
  <c r="J21" i="21"/>
  <c r="G21" i="21"/>
  <c r="J13" i="21"/>
  <c r="G13" i="21"/>
  <c r="K13" i="21" s="1"/>
  <c r="J34" i="21"/>
  <c r="G34" i="21"/>
  <c r="J31" i="21"/>
  <c r="G31" i="21"/>
  <c r="K31" i="21" s="1"/>
  <c r="J30" i="21"/>
  <c r="G30" i="21"/>
  <c r="J25" i="21"/>
  <c r="G25" i="21"/>
  <c r="K25" i="21" s="1"/>
  <c r="J16" i="21"/>
  <c r="G16" i="21"/>
  <c r="J10" i="21"/>
  <c r="G10" i="21"/>
  <c r="K10" i="21" s="1"/>
  <c r="J27" i="21"/>
  <c r="G27" i="21"/>
  <c r="J24" i="21"/>
  <c r="G24" i="21"/>
  <c r="K24" i="21" s="1"/>
  <c r="J26" i="21"/>
  <c r="G26" i="21"/>
  <c r="J22" i="21"/>
  <c r="G22" i="21"/>
  <c r="K22" i="21" s="1"/>
  <c r="J12" i="21"/>
  <c r="G12" i="21"/>
  <c r="J28" i="21"/>
  <c r="G28" i="21"/>
  <c r="K28" i="21" s="1"/>
  <c r="J32" i="21"/>
  <c r="G32" i="21"/>
  <c r="J17" i="21"/>
  <c r="G17" i="21"/>
  <c r="K17" i="21" s="1"/>
  <c r="J36" i="21"/>
  <c r="G36" i="21"/>
  <c r="J11" i="21"/>
  <c r="G11" i="21"/>
  <c r="K11" i="21" s="1"/>
  <c r="J23" i="21"/>
  <c r="G23" i="21"/>
  <c r="J35" i="21"/>
  <c r="G35" i="21"/>
  <c r="K35" i="21" s="1"/>
  <c r="J33" i="21"/>
  <c r="G33" i="21"/>
  <c r="J18" i="21"/>
  <c r="G18" i="21"/>
  <c r="K18" i="21" s="1"/>
  <c r="J20" i="21"/>
  <c r="G20" i="21"/>
  <c r="J29" i="21"/>
  <c r="G29" i="21"/>
  <c r="K29" i="21" s="1"/>
  <c r="J14" i="21"/>
  <c r="G14" i="21"/>
  <c r="J9" i="21"/>
  <c r="G9" i="21"/>
  <c r="K9" i="21" s="1"/>
  <c r="J19" i="21"/>
  <c r="G19" i="21"/>
  <c r="J25" i="56"/>
  <c r="G25" i="56"/>
  <c r="J36" i="56"/>
  <c r="G36" i="56"/>
  <c r="J28" i="56"/>
  <c r="G28" i="56"/>
  <c r="J17" i="56"/>
  <c r="G17" i="56"/>
  <c r="J15" i="56"/>
  <c r="G15" i="56"/>
  <c r="J20" i="56"/>
  <c r="G20" i="56"/>
  <c r="J11" i="56"/>
  <c r="G11" i="56"/>
  <c r="J21" i="56"/>
  <c r="G21" i="56"/>
  <c r="J32" i="56"/>
  <c r="G32" i="56"/>
  <c r="J29" i="56"/>
  <c r="G29" i="56"/>
  <c r="J19" i="56"/>
  <c r="G19" i="56"/>
  <c r="J16" i="56"/>
  <c r="G16" i="56"/>
  <c r="J24" i="56"/>
  <c r="G24" i="56"/>
  <c r="J18" i="56"/>
  <c r="G18" i="56"/>
  <c r="J34" i="56"/>
  <c r="G34" i="56"/>
  <c r="J26" i="56"/>
  <c r="G26" i="56"/>
  <c r="J27" i="56"/>
  <c r="G27" i="56"/>
  <c r="J31" i="56"/>
  <c r="G31" i="56"/>
  <c r="J22" i="56"/>
  <c r="G22" i="56"/>
  <c r="J13" i="56"/>
  <c r="G13" i="56"/>
  <c r="J12" i="56"/>
  <c r="G12" i="56"/>
  <c r="J9" i="56"/>
  <c r="G9" i="56"/>
  <c r="J23" i="56"/>
  <c r="G23" i="56"/>
  <c r="J14" i="56"/>
  <c r="G14" i="56"/>
  <c r="J35" i="56"/>
  <c r="G35" i="56"/>
  <c r="J10" i="56"/>
  <c r="G10" i="56"/>
  <c r="J33" i="56"/>
  <c r="G33" i="56"/>
  <c r="J30" i="56"/>
  <c r="G30" i="56"/>
  <c r="K19" i="21" l="1"/>
  <c r="K14" i="21"/>
  <c r="K20" i="21"/>
  <c r="K33" i="21"/>
  <c r="K23" i="21"/>
  <c r="K36" i="21"/>
  <c r="K32" i="21"/>
  <c r="K12" i="21"/>
  <c r="K26" i="21"/>
  <c r="K27" i="21"/>
  <c r="K16" i="21"/>
  <c r="K30" i="21"/>
  <c r="K34" i="21"/>
  <c r="K21" i="21"/>
  <c r="K30" i="56"/>
  <c r="K33" i="56"/>
  <c r="K10" i="56"/>
  <c r="K35" i="56"/>
  <c r="K14" i="56"/>
  <c r="K23" i="56"/>
  <c r="K9" i="56"/>
  <c r="K12" i="56"/>
  <c r="K13" i="56"/>
  <c r="K22" i="56"/>
  <c r="K31" i="56"/>
  <c r="K27" i="56"/>
  <c r="K26" i="56"/>
  <c r="K34" i="56"/>
  <c r="K18" i="56"/>
  <c r="K24" i="56"/>
  <c r="K16" i="56"/>
  <c r="K19" i="56"/>
  <c r="K29" i="56"/>
  <c r="K32" i="56"/>
  <c r="K21" i="56"/>
  <c r="K11" i="56"/>
  <c r="K20" i="56"/>
  <c r="K15" i="56"/>
  <c r="K17" i="56"/>
  <c r="K28" i="56"/>
  <c r="K36" i="56"/>
  <c r="K25" i="56"/>
  <c r="J8" i="56"/>
  <c r="G8" i="56"/>
  <c r="K8" i="56" l="1"/>
  <c r="J8" i="21"/>
  <c r="G8" i="21"/>
  <c r="K8" i="21" l="1"/>
</calcChain>
</file>

<file path=xl/sharedStrings.xml><?xml version="1.0" encoding="utf-8"?>
<sst xmlns="http://schemas.openxmlformats.org/spreadsheetml/2006/main" count="94" uniqueCount="76">
  <si>
    <t xml:space="preserve">DIRECCION GENERAL DE EDUCACIÓN MEDIA </t>
  </si>
  <si>
    <t>DIRECCION DE BACHILLERATO TÉCNICO Y FORMACIÓN PROFESIONAL</t>
  </si>
  <si>
    <t>Nº</t>
  </si>
  <si>
    <t>APELLIDOS Y NOMBRES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</si>
  <si>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</si>
  <si>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</si>
  <si>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</si>
  <si>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</si>
  <si>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</si>
  <si>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</si>
  <si>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</si>
  <si>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</si>
  <si>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</si>
  <si>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</si>
  <si>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</si>
  <si>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INFORMATICA</t>
  </si>
  <si>
    <t>TURNO MAÑANA CURSO: 1ro. SECCION: 1ra.</t>
  </si>
  <si>
    <t>TURNO TARDE CURSO: 1ro. SECCION: 2da.</t>
  </si>
  <si>
    <t>ARAUJO ARANDA FABIO ARIEL</t>
  </si>
  <si>
    <t>RODRIGUEZ FLORES GUZMAN SHAKUR</t>
  </si>
  <si>
    <t>VALDEZ CABALLERO TOBIAS SANTIAGO</t>
  </si>
  <si>
    <t>BARRETO BAEZ WILSON JAVIER</t>
  </si>
  <si>
    <t>ZACARIAS MUÑOZ GUILLERMO DAMIAN</t>
  </si>
  <si>
    <t>FERNANDEZ LOPEZ MATIAS ALEJANDRO</t>
  </si>
  <si>
    <t>MARTINEZ PAREDES PAZ MARIA BELEN</t>
  </si>
  <si>
    <t>ALVARENGA CACERES TOBIAS RAFAEL</t>
  </si>
  <si>
    <t>CORREA LUGO MARIA PAZ</t>
  </si>
  <si>
    <t>ESPINOLA MATTO MAYRA AINHOA</t>
  </si>
  <si>
    <t>MARTINEZ BENITEZ SONIA ELIZABETH</t>
  </si>
  <si>
    <t>ROZA PERALTA ALAN DAVID</t>
  </si>
  <si>
    <t>PAREDES OSORIO AXELL EDUARDO</t>
  </si>
  <si>
    <t>PALACIO PERALTA MARIO YAHIR</t>
  </si>
  <si>
    <t>VERDUN MARTINEZ MAURICIO ANDRES</t>
  </si>
  <si>
    <t>JARA VILLALBA MARIA LUJAN</t>
  </si>
  <si>
    <t>MAYEREGGER SHUSSELIN PABLO NICOLAS</t>
  </si>
  <si>
    <t>GIMENEZ VILLALBA ARIEL DE JESUS</t>
  </si>
  <si>
    <t>LEGUIZAMON MARTINEZ JULIO BENJAMIN</t>
  </si>
  <si>
    <t>ROCHE ARGUELLO GIOVANNI LUIS</t>
  </si>
  <si>
    <t>TORALES TORRASCAS PABLO ANTONIO</t>
  </si>
  <si>
    <t>LEZCANO VILLALBA CESAR OMAR</t>
  </si>
  <si>
    <t>CONDENANZA MARZOCCHI BARBARA MILAGROS</t>
  </si>
  <si>
    <t>LEZCANO LEITE FABRIZIO ALEJANDRO</t>
  </si>
  <si>
    <t xml:space="preserve">GENEZ ACHAR GIULIANA </t>
  </si>
  <si>
    <t>IRALA CAZAL LUCAS MAURICIO</t>
  </si>
  <si>
    <t>RAMOS GIMENEZ ANA MAYRA</t>
  </si>
  <si>
    <t>ZANPHIROPOLOS SANABRIA ANGELES ABIGAIL</t>
  </si>
  <si>
    <t>OZUNA RIVEROS SOL JOHANA</t>
  </si>
  <si>
    <t>GONZALEZ VILLALBA DIANA MARIA MONTSERRAT</t>
  </si>
  <si>
    <t>ALDERETE PAEZ JOSE AGUSTO</t>
  </si>
  <si>
    <t>BLANCH VERON JHEREMY MILAGROS</t>
  </si>
  <si>
    <t xml:space="preserve">PANAZZOLO BRIAN </t>
  </si>
  <si>
    <t>IBAÑEZ MUÑOZ IGNACIO GABRIEL</t>
  </si>
  <si>
    <t>FERNANDEZ BAEZ ALEXANDER ROBERTO</t>
  </si>
  <si>
    <t>TROCHE INSFRAN HUGO IVAN</t>
  </si>
  <si>
    <t>YUBERO PEREIRA VICTOR RAUL</t>
  </si>
  <si>
    <t>LOPEZ CACERES MAURICIO NICOLAS</t>
  </si>
  <si>
    <t>AQUINO AYALA FABRIZIO ISMAEL</t>
  </si>
  <si>
    <t>ZAYAS MARTINEZ NAIRA GUADALUPE</t>
  </si>
  <si>
    <t>DIAZ INVERNIZZI JOSE ANTONIO</t>
  </si>
  <si>
    <t>ROLON FERMANDEZ RODRIGO ISMAEL</t>
  </si>
  <si>
    <t>PALACIOS ALEGRE MARTIN EDUARDO</t>
  </si>
  <si>
    <t>LEZCANO GALEANO CESAR AUGUSTO</t>
  </si>
  <si>
    <t>MEDINA REYES GABRIELA JANETH</t>
  </si>
  <si>
    <t>LOPEZ ROJAS MISTICA GIMENA</t>
  </si>
  <si>
    <t>OLMEDO PAREDES MAURICIO HERNAN</t>
  </si>
  <si>
    <t>ALFONZO ARMOA AMBAR DANIELA</t>
  </si>
  <si>
    <t>DENIS TOLEDO MARCELO IVAN</t>
  </si>
  <si>
    <t>MARTINEZ RODRIGUEZ EMILIANO</t>
  </si>
  <si>
    <t>PEREZ BARRETO SANTIAGO ADRIAN</t>
  </si>
  <si>
    <t>RISO CHAPARRO LUCA FABRIZIO</t>
  </si>
  <si>
    <t>VALDEZ ORTIZ ALEXANDRA ARAMI</t>
  </si>
  <si>
    <t>BENEGAS RIOS JUAN SEBASTIAN</t>
  </si>
  <si>
    <t>LARREA SOSA LEONARDO</t>
  </si>
  <si>
    <t>CUEVAS SOLIS DANTE SAMUEL</t>
  </si>
  <si>
    <t>LISTA DEFINITIVA- COLEGIO TECNICO NACIONAL DE LA CAPITAL / 2021</t>
  </si>
  <si>
    <t>MINISTERIO DE EDUCACION Y CIENCIAS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</si>
</sst>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sz val="10"/>
      <color theme="1"/>
      <name val="Arial"/>
      <family val="2"/>
    </font>
    <font>
      <sz val="10"/>
      <color theme="1"/>
      <name val="Arial  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3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6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8"/>
  <sheetViews>
    <sheetView tabSelected="1" workbookViewId="0">
      <selection activeCell="N18" sqref="N18"/>
    </sheetView>
  </sheetViews>
  <sheetFormatPr baseColWidth="10" defaultRowHeight="15"/>
  <cols>
    <col min="1" max="1" width="3.5703125" bestFit="1" customWidth="1"/>
    <col min="2" max="2" width="45.7109375" customWidth="1"/>
    <col min="3" max="3" width="10" bestFit="1" customWidth="1"/>
    <col min="4" max="6" width="5.7109375" customWidth="1"/>
    <col min="7" max="7" width="7.7109375" customWidth="1"/>
    <col min="8" max="11" width="6.7109375" customWidth="1"/>
  </cols>
  <sheetData>
    <row r="1" spans="1:11">
      <c r="A1" s="23" t="s">
        <v>75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1">
      <c r="A4" s="23" t="s">
        <v>74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1" ht="15.75">
      <c r="A5" s="25" t="s">
        <v>16</v>
      </c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ht="35.1" customHeight="1">
      <c r="A6" s="26" t="s">
        <v>2</v>
      </c>
      <c r="B6" s="26" t="s">
        <v>3</v>
      </c>
      <c r="C6" s="27" t="s">
        <v>4</v>
      </c>
      <c r="D6" s="28" t="s">
        <v>5</v>
      </c>
      <c r="E6" s="28"/>
      <c r="F6" s="28"/>
      <c r="G6" s="17" t="s">
        <v>6</v>
      </c>
      <c r="H6" s="15" t="s">
        <v>7</v>
      </c>
      <c r="I6" s="16"/>
      <c r="J6" s="17" t="s">
        <v>8</v>
      </c>
      <c r="K6" s="19" t="s">
        <v>9</v>
      </c>
    </row>
    <row r="7" spans="1:11" ht="30" customHeight="1">
      <c r="A7" s="26"/>
      <c r="B7" s="26"/>
      <c r="C7" s="27"/>
      <c r="D7" s="8" t="s">
        <v>10</v>
      </c>
      <c r="E7" s="8" t="s">
        <v>11</v>
      </c>
      <c r="F7" s="8" t="s">
        <v>12</v>
      </c>
      <c r="G7" s="18"/>
      <c r="H7" s="7" t="s">
        <v>13</v>
      </c>
      <c r="I7" s="7" t="s">
        <v>14</v>
      </c>
      <c r="J7" s="18"/>
      <c r="K7" s="19"/>
    </row>
    <row r="8" spans="1:11">
      <c r="A8" s="20" t="s">
        <v>15</v>
      </c>
      <c r="B8" s="21"/>
      <c r="C8" s="22"/>
      <c r="D8" s="1">
        <v>15</v>
      </c>
      <c r="E8" s="1">
        <v>15</v>
      </c>
      <c r="F8" s="1">
        <v>15</v>
      </c>
      <c r="G8" s="2">
        <f t="shared" ref="G8" si="0">SUM(D8:F8)*100/45*0.4</f>
        <v>40</v>
      </c>
      <c r="H8" s="1">
        <v>30</v>
      </c>
      <c r="I8" s="1">
        <v>30</v>
      </c>
      <c r="J8" s="2">
        <f t="shared" ref="J8" si="1">SUM(H8:I8)</f>
        <v>60</v>
      </c>
      <c r="K8" s="3">
        <f>J8+G8</f>
        <v>100</v>
      </c>
    </row>
    <row r="9" spans="1:11" s="6" customFormat="1" ht="23.1" customHeight="1">
      <c r="A9" s="13">
        <v>1</v>
      </c>
      <c r="B9" s="9" t="s">
        <v>25</v>
      </c>
      <c r="C9" s="10">
        <v>5787313</v>
      </c>
      <c r="D9" s="11">
        <v>14</v>
      </c>
      <c r="E9" s="11">
        <v>15</v>
      </c>
      <c r="F9" s="11">
        <v>15</v>
      </c>
      <c r="G9" s="12">
        <f t="shared" ref="G9:G36" si="2">SUM(D9:F9)*100/45*0.4</f>
        <v>39.111111111111114</v>
      </c>
      <c r="H9" s="12">
        <v>18</v>
      </c>
      <c r="I9" s="12">
        <v>23</v>
      </c>
      <c r="J9" s="12">
        <f t="shared" ref="J9:J36" si="3">SUM(H9:I9)</f>
        <v>41</v>
      </c>
      <c r="K9" s="12">
        <f t="shared" ref="K9:K36" si="4">G9+J9</f>
        <v>80.111111111111114</v>
      </c>
    </row>
    <row r="10" spans="1:11" s="6" customFormat="1" ht="23.1" customHeight="1">
      <c r="A10" s="13">
        <v>2</v>
      </c>
      <c r="B10" s="9" t="s">
        <v>21</v>
      </c>
      <c r="C10" s="10">
        <v>6052236</v>
      </c>
      <c r="D10" s="11">
        <v>15</v>
      </c>
      <c r="E10" s="11">
        <v>15</v>
      </c>
      <c r="F10" s="11">
        <v>15</v>
      </c>
      <c r="G10" s="12">
        <f t="shared" si="2"/>
        <v>40</v>
      </c>
      <c r="H10" s="12">
        <v>19</v>
      </c>
      <c r="I10" s="12">
        <v>24</v>
      </c>
      <c r="J10" s="12">
        <f t="shared" si="3"/>
        <v>43</v>
      </c>
      <c r="K10" s="12">
        <f t="shared" si="4"/>
        <v>83</v>
      </c>
    </row>
    <row r="11" spans="1:11" s="6" customFormat="1" ht="23.1" customHeight="1">
      <c r="A11" s="13">
        <v>3</v>
      </c>
      <c r="B11" s="9" t="s">
        <v>40</v>
      </c>
      <c r="C11" s="10">
        <v>8553048</v>
      </c>
      <c r="D11" s="11">
        <v>14</v>
      </c>
      <c r="E11" s="11">
        <v>13</v>
      </c>
      <c r="F11" s="11">
        <v>15</v>
      </c>
      <c r="G11" s="12">
        <f t="shared" si="2"/>
        <v>37.333333333333336</v>
      </c>
      <c r="H11" s="12">
        <v>13</v>
      </c>
      <c r="I11" s="12">
        <v>25</v>
      </c>
      <c r="J11" s="12">
        <f t="shared" si="3"/>
        <v>38</v>
      </c>
      <c r="K11" s="12">
        <f t="shared" si="4"/>
        <v>75.333333333333343</v>
      </c>
    </row>
    <row r="12" spans="1:11" s="6" customFormat="1" ht="23.1" customHeight="1">
      <c r="A12" s="13">
        <v>4</v>
      </c>
      <c r="B12" s="9" t="s">
        <v>26</v>
      </c>
      <c r="C12" s="10">
        <v>6697517</v>
      </c>
      <c r="D12" s="11">
        <v>14</v>
      </c>
      <c r="E12" s="11">
        <v>15</v>
      </c>
      <c r="F12" s="11">
        <v>15</v>
      </c>
      <c r="G12" s="12">
        <f t="shared" si="2"/>
        <v>39.111111111111114</v>
      </c>
      <c r="H12" s="12">
        <v>15</v>
      </c>
      <c r="I12" s="12">
        <v>26</v>
      </c>
      <c r="J12" s="12">
        <f t="shared" si="3"/>
        <v>41</v>
      </c>
      <c r="K12" s="12">
        <f t="shared" si="4"/>
        <v>80.111111111111114</v>
      </c>
    </row>
    <row r="13" spans="1:11" s="6" customFormat="1" ht="23.1" customHeight="1">
      <c r="A13" s="13">
        <v>5</v>
      </c>
      <c r="B13" s="9" t="s">
        <v>27</v>
      </c>
      <c r="C13" s="10">
        <v>6540316</v>
      </c>
      <c r="D13" s="11">
        <v>15</v>
      </c>
      <c r="E13" s="11">
        <v>15</v>
      </c>
      <c r="F13" s="11">
        <v>15</v>
      </c>
      <c r="G13" s="12">
        <f t="shared" si="2"/>
        <v>40</v>
      </c>
      <c r="H13" s="12">
        <v>17</v>
      </c>
      <c r="I13" s="12">
        <v>23</v>
      </c>
      <c r="J13" s="12">
        <f t="shared" si="3"/>
        <v>40</v>
      </c>
      <c r="K13" s="12">
        <f t="shared" si="4"/>
        <v>80</v>
      </c>
    </row>
    <row r="14" spans="1:11" s="6" customFormat="1" ht="23.1" customHeight="1">
      <c r="A14" s="13">
        <v>6</v>
      </c>
      <c r="B14" s="9" t="s">
        <v>23</v>
      </c>
      <c r="C14" s="10">
        <v>5639811</v>
      </c>
      <c r="D14" s="11">
        <v>14</v>
      </c>
      <c r="E14" s="11">
        <v>15</v>
      </c>
      <c r="F14" s="11">
        <v>14</v>
      </c>
      <c r="G14" s="12">
        <f t="shared" si="2"/>
        <v>38.222222222222221</v>
      </c>
      <c r="H14" s="12">
        <v>22</v>
      </c>
      <c r="I14" s="12">
        <v>21</v>
      </c>
      <c r="J14" s="12">
        <f t="shared" si="3"/>
        <v>43</v>
      </c>
      <c r="K14" s="12">
        <f t="shared" si="4"/>
        <v>81.222222222222229</v>
      </c>
    </row>
    <row r="15" spans="1:11" s="6" customFormat="1" ht="23.1" customHeight="1">
      <c r="A15" s="13">
        <v>7</v>
      </c>
      <c r="B15" s="9" t="s">
        <v>42</v>
      </c>
      <c r="C15" s="10">
        <v>6132709</v>
      </c>
      <c r="D15" s="11">
        <v>15</v>
      </c>
      <c r="E15" s="11">
        <v>13</v>
      </c>
      <c r="F15" s="11">
        <v>15</v>
      </c>
      <c r="G15" s="12">
        <f t="shared" si="2"/>
        <v>38.222222222222221</v>
      </c>
      <c r="H15" s="12">
        <v>15</v>
      </c>
      <c r="I15" s="12">
        <v>22</v>
      </c>
      <c r="J15" s="12">
        <f t="shared" si="3"/>
        <v>37</v>
      </c>
      <c r="K15" s="12">
        <f t="shared" si="4"/>
        <v>75.222222222222229</v>
      </c>
    </row>
    <row r="16" spans="1:11" s="6" customFormat="1" ht="23.1" customHeight="1">
      <c r="A16" s="13">
        <v>8</v>
      </c>
      <c r="B16" s="9" t="s">
        <v>35</v>
      </c>
      <c r="C16" s="10">
        <v>6038714</v>
      </c>
      <c r="D16" s="11">
        <v>13</v>
      </c>
      <c r="E16" s="11">
        <v>13</v>
      </c>
      <c r="F16" s="11">
        <v>15</v>
      </c>
      <c r="G16" s="12">
        <f t="shared" si="2"/>
        <v>36.44444444444445</v>
      </c>
      <c r="H16" s="12">
        <v>18</v>
      </c>
      <c r="I16" s="12">
        <v>23</v>
      </c>
      <c r="J16" s="12">
        <f t="shared" si="3"/>
        <v>41</v>
      </c>
      <c r="K16" s="12">
        <f t="shared" si="4"/>
        <v>77.444444444444457</v>
      </c>
    </row>
    <row r="17" spans="1:11" s="6" customFormat="1" ht="23.1" customHeight="1">
      <c r="A17" s="13">
        <v>9</v>
      </c>
      <c r="B17" s="9" t="s">
        <v>43</v>
      </c>
      <c r="C17" s="10">
        <v>6733560</v>
      </c>
      <c r="D17" s="11">
        <v>15</v>
      </c>
      <c r="E17" s="11">
        <v>15</v>
      </c>
      <c r="F17" s="11">
        <v>14</v>
      </c>
      <c r="G17" s="12">
        <f t="shared" si="2"/>
        <v>39.111111111111114</v>
      </c>
      <c r="H17" s="12">
        <v>14</v>
      </c>
      <c r="I17" s="12">
        <v>22</v>
      </c>
      <c r="J17" s="12">
        <f t="shared" si="3"/>
        <v>36</v>
      </c>
      <c r="K17" s="12">
        <f t="shared" si="4"/>
        <v>75.111111111111114</v>
      </c>
    </row>
    <row r="18" spans="1:11" s="6" customFormat="1" ht="23.1" customHeight="1">
      <c r="A18" s="13">
        <v>10</v>
      </c>
      <c r="B18" s="9" t="s">
        <v>33</v>
      </c>
      <c r="C18" s="10">
        <v>6106120</v>
      </c>
      <c r="D18" s="11">
        <v>15</v>
      </c>
      <c r="E18" s="11">
        <v>15</v>
      </c>
      <c r="F18" s="11">
        <v>15</v>
      </c>
      <c r="G18" s="12">
        <f t="shared" si="2"/>
        <v>40</v>
      </c>
      <c r="H18" s="12">
        <v>15</v>
      </c>
      <c r="I18" s="12">
        <v>23</v>
      </c>
      <c r="J18" s="12">
        <f t="shared" si="3"/>
        <v>38</v>
      </c>
      <c r="K18" s="12">
        <f t="shared" si="4"/>
        <v>78</v>
      </c>
    </row>
    <row r="19" spans="1:11" s="6" customFormat="1" ht="23.1" customHeight="1">
      <c r="A19" s="13">
        <v>11</v>
      </c>
      <c r="B19" s="9" t="s">
        <v>36</v>
      </c>
      <c r="C19" s="10">
        <v>7453133</v>
      </c>
      <c r="D19" s="11">
        <v>15</v>
      </c>
      <c r="E19" s="11">
        <v>15</v>
      </c>
      <c r="F19" s="11">
        <v>15</v>
      </c>
      <c r="G19" s="12">
        <f t="shared" si="2"/>
        <v>40</v>
      </c>
      <c r="H19" s="12">
        <v>17</v>
      </c>
      <c r="I19" s="12">
        <v>20</v>
      </c>
      <c r="J19" s="12">
        <f t="shared" si="3"/>
        <v>37</v>
      </c>
      <c r="K19" s="12">
        <f t="shared" si="4"/>
        <v>77</v>
      </c>
    </row>
    <row r="20" spans="1:11" s="6" customFormat="1" ht="23.1" customHeight="1">
      <c r="A20" s="13">
        <v>12</v>
      </c>
      <c r="B20" s="9" t="s">
        <v>41</v>
      </c>
      <c r="C20" s="10">
        <v>5991531</v>
      </c>
      <c r="D20" s="11">
        <v>14</v>
      </c>
      <c r="E20" s="11">
        <v>15</v>
      </c>
      <c r="F20" s="11">
        <v>13</v>
      </c>
      <c r="G20" s="12">
        <f t="shared" si="2"/>
        <v>37.333333333333336</v>
      </c>
      <c r="H20" s="12">
        <v>16</v>
      </c>
      <c r="I20" s="12">
        <v>22</v>
      </c>
      <c r="J20" s="12">
        <f t="shared" si="3"/>
        <v>38</v>
      </c>
      <c r="K20" s="12">
        <f t="shared" si="4"/>
        <v>75.333333333333343</v>
      </c>
    </row>
    <row r="21" spans="1:11" s="6" customFormat="1" ht="23.1" customHeight="1">
      <c r="A21" s="13">
        <v>13</v>
      </c>
      <c r="B21" s="9" t="s">
        <v>39</v>
      </c>
      <c r="C21" s="10">
        <v>7826589</v>
      </c>
      <c r="D21" s="11">
        <v>15</v>
      </c>
      <c r="E21" s="11">
        <v>15</v>
      </c>
      <c r="F21" s="11">
        <v>15</v>
      </c>
      <c r="G21" s="12">
        <f t="shared" si="2"/>
        <v>40</v>
      </c>
      <c r="H21" s="12">
        <v>16</v>
      </c>
      <c r="I21" s="12">
        <v>20</v>
      </c>
      <c r="J21" s="12">
        <f t="shared" si="3"/>
        <v>36</v>
      </c>
      <c r="K21" s="12">
        <f t="shared" si="4"/>
        <v>76</v>
      </c>
    </row>
    <row r="22" spans="1:11" s="6" customFormat="1" ht="23.1" customHeight="1">
      <c r="A22" s="13">
        <v>14</v>
      </c>
      <c r="B22" s="9" t="s">
        <v>28</v>
      </c>
      <c r="C22" s="10">
        <v>7687590</v>
      </c>
      <c r="D22" s="11">
        <v>15</v>
      </c>
      <c r="E22" s="11">
        <v>15</v>
      </c>
      <c r="F22" s="11">
        <v>15</v>
      </c>
      <c r="G22" s="12">
        <f t="shared" si="2"/>
        <v>40</v>
      </c>
      <c r="H22" s="12">
        <v>18</v>
      </c>
      <c r="I22" s="12">
        <v>22</v>
      </c>
      <c r="J22" s="12">
        <f t="shared" si="3"/>
        <v>40</v>
      </c>
      <c r="K22" s="12">
        <f t="shared" si="4"/>
        <v>80</v>
      </c>
    </row>
    <row r="23" spans="1:11" s="6" customFormat="1" ht="23.1" customHeight="1">
      <c r="A23" s="13">
        <v>15</v>
      </c>
      <c r="B23" s="9" t="s">
        <v>24</v>
      </c>
      <c r="C23" s="10">
        <v>5460668</v>
      </c>
      <c r="D23" s="11">
        <v>14</v>
      </c>
      <c r="E23" s="11">
        <v>15</v>
      </c>
      <c r="F23" s="11">
        <v>15</v>
      </c>
      <c r="G23" s="12">
        <f t="shared" si="2"/>
        <v>39.111111111111114</v>
      </c>
      <c r="H23" s="12">
        <v>18</v>
      </c>
      <c r="I23" s="12">
        <v>24</v>
      </c>
      <c r="J23" s="12">
        <f t="shared" si="3"/>
        <v>42</v>
      </c>
      <c r="K23" s="12">
        <f t="shared" si="4"/>
        <v>81.111111111111114</v>
      </c>
    </row>
    <row r="24" spans="1:11" s="6" customFormat="1" ht="23.1" customHeight="1">
      <c r="A24" s="13">
        <v>16</v>
      </c>
      <c r="B24" s="9" t="s">
        <v>34</v>
      </c>
      <c r="C24" s="10">
        <v>5706964</v>
      </c>
      <c r="D24" s="11">
        <v>15</v>
      </c>
      <c r="E24" s="11">
        <v>15</v>
      </c>
      <c r="F24" s="11">
        <v>15</v>
      </c>
      <c r="G24" s="12">
        <f t="shared" si="2"/>
        <v>40</v>
      </c>
      <c r="H24" s="12">
        <v>16</v>
      </c>
      <c r="I24" s="12">
        <v>22</v>
      </c>
      <c r="J24" s="12">
        <f t="shared" si="3"/>
        <v>38</v>
      </c>
      <c r="K24" s="12">
        <f t="shared" si="4"/>
        <v>78</v>
      </c>
    </row>
    <row r="25" spans="1:11" s="6" customFormat="1" ht="23.1" customHeight="1">
      <c r="A25" s="13">
        <v>17</v>
      </c>
      <c r="B25" s="9" t="s">
        <v>46</v>
      </c>
      <c r="C25" s="10">
        <v>5742820</v>
      </c>
      <c r="D25" s="11">
        <v>15</v>
      </c>
      <c r="E25" s="11">
        <v>14</v>
      </c>
      <c r="F25" s="11">
        <v>14</v>
      </c>
      <c r="G25" s="12">
        <f t="shared" si="2"/>
        <v>38.222222222222221</v>
      </c>
      <c r="H25" s="12">
        <v>15</v>
      </c>
      <c r="I25" s="12">
        <v>21</v>
      </c>
      <c r="J25" s="12">
        <f t="shared" si="3"/>
        <v>36</v>
      </c>
      <c r="K25" s="12">
        <f t="shared" si="4"/>
        <v>74.222222222222229</v>
      </c>
    </row>
    <row r="26" spans="1:11" s="6" customFormat="1" ht="23.1" customHeight="1">
      <c r="A26" s="13">
        <v>18</v>
      </c>
      <c r="B26" s="9" t="s">
        <v>31</v>
      </c>
      <c r="C26" s="10">
        <v>5993828</v>
      </c>
      <c r="D26" s="11">
        <v>15</v>
      </c>
      <c r="E26" s="11">
        <v>13</v>
      </c>
      <c r="F26" s="11">
        <v>15</v>
      </c>
      <c r="G26" s="12">
        <f t="shared" si="2"/>
        <v>38.222222222222221</v>
      </c>
      <c r="H26" s="12">
        <v>17</v>
      </c>
      <c r="I26" s="12">
        <v>23</v>
      </c>
      <c r="J26" s="12">
        <f t="shared" si="3"/>
        <v>40</v>
      </c>
      <c r="K26" s="12">
        <f t="shared" si="4"/>
        <v>78.222222222222229</v>
      </c>
    </row>
    <row r="27" spans="1:11" s="6" customFormat="1" ht="23.1" customHeight="1">
      <c r="A27" s="13">
        <v>19</v>
      </c>
      <c r="B27" s="9" t="s">
        <v>30</v>
      </c>
      <c r="C27" s="10">
        <v>6521019</v>
      </c>
      <c r="D27" s="11">
        <v>10</v>
      </c>
      <c r="E27" s="11">
        <v>14</v>
      </c>
      <c r="F27" s="11">
        <v>15</v>
      </c>
      <c r="G27" s="12">
        <f t="shared" si="2"/>
        <v>34.666666666666671</v>
      </c>
      <c r="H27" s="12">
        <v>22</v>
      </c>
      <c r="I27" s="12">
        <v>23</v>
      </c>
      <c r="J27" s="12">
        <f t="shared" si="3"/>
        <v>45</v>
      </c>
      <c r="K27" s="12">
        <f t="shared" si="4"/>
        <v>79.666666666666671</v>
      </c>
    </row>
    <row r="28" spans="1:11" s="6" customFormat="1" ht="23.1" customHeight="1">
      <c r="A28" s="13">
        <v>20</v>
      </c>
      <c r="B28" s="9" t="s">
        <v>44</v>
      </c>
      <c r="C28" s="10">
        <v>5617423</v>
      </c>
      <c r="D28" s="11">
        <v>15</v>
      </c>
      <c r="E28" s="11">
        <v>15</v>
      </c>
      <c r="F28" s="11">
        <v>14</v>
      </c>
      <c r="G28" s="12">
        <f t="shared" si="2"/>
        <v>39.111111111111114</v>
      </c>
      <c r="H28" s="12">
        <v>16</v>
      </c>
      <c r="I28" s="12">
        <v>20</v>
      </c>
      <c r="J28" s="12">
        <f t="shared" si="3"/>
        <v>36</v>
      </c>
      <c r="K28" s="12">
        <f t="shared" si="4"/>
        <v>75.111111111111114</v>
      </c>
    </row>
    <row r="29" spans="1:11" s="6" customFormat="1" ht="23.1" customHeight="1">
      <c r="A29" s="13">
        <v>21</v>
      </c>
      <c r="B29" s="9" t="s">
        <v>37</v>
      </c>
      <c r="C29" s="10">
        <v>5558267</v>
      </c>
      <c r="D29" s="11">
        <v>11</v>
      </c>
      <c r="E29" s="11">
        <v>13</v>
      </c>
      <c r="F29" s="11">
        <v>15</v>
      </c>
      <c r="G29" s="12">
        <f t="shared" si="2"/>
        <v>34.666666666666671</v>
      </c>
      <c r="H29" s="12">
        <v>18</v>
      </c>
      <c r="I29" s="12">
        <v>24</v>
      </c>
      <c r="J29" s="12">
        <f t="shared" si="3"/>
        <v>42</v>
      </c>
      <c r="K29" s="12">
        <f t="shared" si="4"/>
        <v>76.666666666666671</v>
      </c>
    </row>
    <row r="30" spans="1:11" s="6" customFormat="1" ht="23.1" customHeight="1">
      <c r="A30" s="13">
        <v>22</v>
      </c>
      <c r="B30" s="9" t="s">
        <v>19</v>
      </c>
      <c r="C30" s="10">
        <v>5799979</v>
      </c>
      <c r="D30" s="11">
        <v>15</v>
      </c>
      <c r="E30" s="11">
        <v>15</v>
      </c>
      <c r="F30" s="11">
        <v>15</v>
      </c>
      <c r="G30" s="12">
        <f t="shared" si="2"/>
        <v>40</v>
      </c>
      <c r="H30" s="12">
        <v>25</v>
      </c>
      <c r="I30" s="12">
        <v>24</v>
      </c>
      <c r="J30" s="12">
        <f t="shared" si="3"/>
        <v>49</v>
      </c>
      <c r="K30" s="12">
        <f t="shared" si="4"/>
        <v>89</v>
      </c>
    </row>
    <row r="31" spans="1:11" s="6" customFormat="1" ht="23.1" customHeight="1">
      <c r="A31" s="13">
        <v>23</v>
      </c>
      <c r="B31" s="9" t="s">
        <v>29</v>
      </c>
      <c r="C31" s="10">
        <v>6052730</v>
      </c>
      <c r="D31" s="11">
        <v>12</v>
      </c>
      <c r="E31" s="11">
        <v>10</v>
      </c>
      <c r="F31" s="11">
        <v>15</v>
      </c>
      <c r="G31" s="12">
        <f t="shared" si="2"/>
        <v>32.888888888888893</v>
      </c>
      <c r="H31" s="12">
        <v>22</v>
      </c>
      <c r="I31" s="12">
        <v>25</v>
      </c>
      <c r="J31" s="12">
        <f t="shared" si="3"/>
        <v>47</v>
      </c>
      <c r="K31" s="12">
        <f t="shared" si="4"/>
        <v>79.888888888888886</v>
      </c>
    </row>
    <row r="32" spans="1:11" s="6" customFormat="1" ht="23.1" customHeight="1">
      <c r="A32" s="13">
        <v>24</v>
      </c>
      <c r="B32" s="9" t="s">
        <v>38</v>
      </c>
      <c r="C32" s="10">
        <v>6975801</v>
      </c>
      <c r="D32" s="11">
        <v>14</v>
      </c>
      <c r="E32" s="11">
        <v>13</v>
      </c>
      <c r="F32" s="11">
        <v>13</v>
      </c>
      <c r="G32" s="12">
        <f t="shared" si="2"/>
        <v>35.555555555555557</v>
      </c>
      <c r="H32" s="12">
        <v>15</v>
      </c>
      <c r="I32" s="12">
        <v>26</v>
      </c>
      <c r="J32" s="12">
        <f t="shared" si="3"/>
        <v>41</v>
      </c>
      <c r="K32" s="12">
        <f t="shared" si="4"/>
        <v>76.555555555555557</v>
      </c>
    </row>
    <row r="33" spans="1:11" s="6" customFormat="1" ht="23.1" customHeight="1">
      <c r="A33" s="13">
        <v>25</v>
      </c>
      <c r="B33" s="9" t="s">
        <v>20</v>
      </c>
      <c r="C33" s="10">
        <v>5738014</v>
      </c>
      <c r="D33" s="11">
        <v>13</v>
      </c>
      <c r="E33" s="11">
        <v>13</v>
      </c>
      <c r="F33" s="11">
        <v>15</v>
      </c>
      <c r="G33" s="12">
        <f t="shared" si="2"/>
        <v>36.44444444444445</v>
      </c>
      <c r="H33" s="12">
        <v>27</v>
      </c>
      <c r="I33" s="12">
        <v>22</v>
      </c>
      <c r="J33" s="12">
        <f t="shared" si="3"/>
        <v>49</v>
      </c>
      <c r="K33" s="12">
        <f t="shared" si="4"/>
        <v>85.444444444444457</v>
      </c>
    </row>
    <row r="34" spans="1:11" s="6" customFormat="1" ht="23.1" customHeight="1">
      <c r="A34" s="13">
        <v>26</v>
      </c>
      <c r="B34" s="9" t="s">
        <v>32</v>
      </c>
      <c r="C34" s="10">
        <v>5793793</v>
      </c>
      <c r="D34" s="11">
        <v>15</v>
      </c>
      <c r="E34" s="11">
        <v>14</v>
      </c>
      <c r="F34" s="11">
        <v>15</v>
      </c>
      <c r="G34" s="12">
        <f t="shared" si="2"/>
        <v>39.111111111111114</v>
      </c>
      <c r="H34" s="12">
        <v>13</v>
      </c>
      <c r="I34" s="12">
        <v>26</v>
      </c>
      <c r="J34" s="12">
        <f t="shared" si="3"/>
        <v>39</v>
      </c>
      <c r="K34" s="12">
        <f t="shared" si="4"/>
        <v>78.111111111111114</v>
      </c>
    </row>
    <row r="35" spans="1:11" s="6" customFormat="1" ht="23.1" customHeight="1">
      <c r="A35" s="13">
        <v>27</v>
      </c>
      <c r="B35" s="9" t="s">
        <v>22</v>
      </c>
      <c r="C35" s="10">
        <v>5557317</v>
      </c>
      <c r="D35" s="11">
        <v>14</v>
      </c>
      <c r="E35" s="11">
        <v>15</v>
      </c>
      <c r="F35" s="11">
        <v>14</v>
      </c>
      <c r="G35" s="12">
        <f t="shared" si="2"/>
        <v>38.222222222222221</v>
      </c>
      <c r="H35" s="12">
        <v>18</v>
      </c>
      <c r="I35" s="12">
        <v>26</v>
      </c>
      <c r="J35" s="12">
        <f t="shared" si="3"/>
        <v>44</v>
      </c>
      <c r="K35" s="12">
        <f t="shared" si="4"/>
        <v>82.222222222222229</v>
      </c>
    </row>
    <row r="36" spans="1:11" s="6" customFormat="1" ht="23.1" customHeight="1">
      <c r="A36" s="13">
        <v>28</v>
      </c>
      <c r="B36" s="9" t="s">
        <v>45</v>
      </c>
      <c r="C36" s="10">
        <v>5541493</v>
      </c>
      <c r="D36" s="11">
        <v>15</v>
      </c>
      <c r="E36" s="11">
        <v>15</v>
      </c>
      <c r="F36" s="11">
        <v>15</v>
      </c>
      <c r="G36" s="12">
        <f t="shared" si="2"/>
        <v>40</v>
      </c>
      <c r="H36" s="12">
        <v>18</v>
      </c>
      <c r="I36" s="12">
        <v>17</v>
      </c>
      <c r="J36" s="12">
        <f t="shared" si="3"/>
        <v>35</v>
      </c>
      <c r="K36" s="12">
        <f t="shared" si="4"/>
        <v>75</v>
      </c>
    </row>
    <row r="37" spans="1:11" s="6" customFormat="1" ht="20.100000000000001" customHeight="1"/>
    <row r="38" spans="1:11" s="6" customFormat="1" ht="20.100000000000001" customHeight="1"/>
    <row r="39" spans="1:11" s="6" customFormat="1" ht="20.100000000000001" customHeight="1"/>
    <row r="40" spans="1:11" s="6" customFormat="1" ht="20.100000000000001" customHeight="1"/>
    <row r="41" spans="1:11" s="6" customFormat="1" ht="20.100000000000001" customHeight="1"/>
    <row r="42" spans="1:11" s="6" customFormat="1" ht="20.100000000000001" customHeight="1"/>
    <row r="43" spans="1:11" s="6" customFormat="1" ht="20.100000000000001" customHeight="1"/>
    <row r="44" spans="1:11" s="6" customFormat="1" ht="20.100000000000001" customHeight="1"/>
    <row r="45" spans="1:11" s="6" customFormat="1" ht="20.100000000000001" customHeight="1"/>
    <row r="46" spans="1:11" s="6" customFormat="1" ht="20.100000000000001" customHeight="1"/>
    <row r="47" spans="1:11" s="6" customFormat="1" ht="20.100000000000001" customHeight="1"/>
    <row r="48" spans="1:11" s="6" customFormat="1" ht="20.100000000000001" customHeight="1"/>
    <row r="49" s="6" customFormat="1" ht="20.100000000000001" customHeight="1"/>
    <row r="50" s="6" customFormat="1" ht="20.100000000000001" customHeight="1"/>
    <row r="51" s="6" customFormat="1" ht="20.100000000000001" customHeight="1"/>
    <row r="52" s="6" customFormat="1" ht="20.100000000000001" customHeight="1"/>
    <row r="53" s="6" customFormat="1" ht="20.100000000000001" customHeight="1"/>
    <row r="54" s="6" customFormat="1" ht="20.100000000000001" customHeight="1"/>
    <row r="55" s="6" customFormat="1" ht="20.100000000000001" customHeight="1"/>
    <row r="56" s="6" customFormat="1" ht="20.100000000000001" customHeight="1"/>
    <row r="57" s="6" customFormat="1" ht="20.100000000000001" customHeight="1"/>
    <row r="58" s="6" customFormat="1" ht="20.100000000000001" customHeight="1"/>
    <row r="59" s="6" customFormat="1" ht="20.100000000000001" customHeight="1"/>
    <row r="60" s="6" customFormat="1" ht="20.100000000000001" customHeight="1"/>
    <row r="61" s="6" customFormat="1" ht="20.100000000000001" customHeight="1"/>
    <row r="62" s="6" customFormat="1" ht="20.100000000000001" customHeight="1"/>
    <row r="63" s="6" customFormat="1" ht="20.100000000000001" customHeight="1"/>
    <row r="64" s="6" customFormat="1" ht="20.100000000000001" customHeight="1"/>
    <row r="65" s="6" customFormat="1" ht="20.100000000000001" customHeight="1"/>
    <row r="66" s="6" customFormat="1" ht="20.100000000000001" customHeight="1"/>
    <row r="67" s="6" customFormat="1" ht="20.100000000000001" customHeight="1"/>
    <row r="68" s="6" customFormat="1" ht="20.100000000000001" customHeight="1"/>
    <row r="69" s="6" customFormat="1" ht="20.100000000000001" customHeight="1"/>
    <row r="70" s="6" customFormat="1" ht="20.100000000000001" customHeight="1"/>
    <row r="71" s="6" customFormat="1" ht="20.100000000000001" customHeight="1"/>
    <row r="72" s="6" customFormat="1" ht="20.100000000000001" customHeight="1"/>
    <row r="73" s="6" customFormat="1" ht="20.100000000000001" customHeight="1"/>
    <row r="74" s="6" customFormat="1" ht="20.100000000000001" customHeight="1"/>
    <row r="75" s="6" customFormat="1" ht="20.100000000000001" customHeight="1"/>
    <row r="76" s="6" customFormat="1" ht="20.100000000000001" customHeight="1"/>
    <row r="77" s="6" customFormat="1" ht="20.100000000000001" customHeight="1"/>
    <row r="78" s="6" customFormat="1" ht="20.100000000000001" customHeight="1"/>
    <row r="79" s="6" customFormat="1" ht="20.100000000000001" customHeight="1"/>
    <row r="80" s="6" customFormat="1" ht="20.100000000000001" customHeight="1"/>
    <row r="81" s="6" customFormat="1" ht="20.100000000000001" customHeight="1"/>
    <row r="82" s="6" customFormat="1" ht="20.100000000000001" customHeight="1"/>
    <row r="83" s="6" customFormat="1" ht="20.100000000000001" customHeight="1"/>
    <row r="84" s="6" customFormat="1" ht="20.100000000000001" customHeight="1"/>
    <row r="85" s="6" customFormat="1" ht="20.100000000000001" customHeight="1"/>
    <row r="86" s="6" customFormat="1" ht="20.100000000000001" customHeight="1"/>
    <row r="87" s="6" customFormat="1" ht="20.100000000000001" customHeight="1"/>
    <row r="88" s="6" customFormat="1" ht="20.100000000000001" customHeight="1"/>
    <row r="89" s="6" customFormat="1" ht="20.100000000000001" customHeight="1"/>
    <row r="90" s="6" customFormat="1" ht="20.100000000000001" customHeight="1"/>
    <row r="91" s="6" customFormat="1" ht="20.100000000000001" customHeight="1"/>
    <row r="92" s="6" customFormat="1" ht="20.100000000000001" customHeight="1"/>
    <row r="93" s="6" customFormat="1" ht="20.100000000000001" customHeight="1"/>
    <row r="94" s="6" customFormat="1" ht="20.100000000000001" customHeight="1"/>
    <row r="95" s="6" customFormat="1" ht="20.100000000000001" customHeight="1"/>
    <row r="96" s="6" customFormat="1" ht="20.100000000000001" customHeight="1"/>
    <row r="97" s="6" customFormat="1" ht="20.100000000000001" customHeight="1"/>
    <row r="98" s="6" customFormat="1" ht="20.100000000000001" customHeight="1"/>
    <row r="99" s="6" customFormat="1" ht="20.100000000000001" customHeight="1"/>
    <row r="100" s="6" customFormat="1" ht="20.100000000000001" customHeight="1"/>
    <row r="101" s="6" customFormat="1" ht="20.100000000000001" customHeight="1"/>
    <row r="102" s="6" customFormat="1" ht="20.100000000000001" customHeight="1"/>
    <row r="103" s="6" customFormat="1" ht="20.100000000000001" customHeight="1"/>
    <row r="104" s="6" customFormat="1" ht="20.100000000000001" customHeight="1"/>
    <row r="105" s="6" customFormat="1" ht="20.100000000000001" customHeight="1"/>
    <row r="106" s="6" customFormat="1" ht="20.100000000000001" customHeight="1"/>
    <row r="107" s="6" customFormat="1" ht="20.100000000000001" customHeight="1"/>
    <row r="108" s="6" customFormat="1" ht="20.100000000000001" customHeight="1"/>
    <row r="109" s="6" customFormat="1" ht="20.100000000000001" customHeight="1"/>
    <row r="110" s="6" customFormat="1" ht="20.100000000000001" customHeight="1"/>
    <row r="111" s="6" customFormat="1" ht="20.100000000000001" customHeight="1"/>
    <row r="112" s="6" customFormat="1" ht="20.100000000000001" customHeight="1"/>
    <row r="113" s="6" customFormat="1" ht="20.100000000000001" customHeight="1"/>
    <row r="114" s="6" customFormat="1" ht="20.100000000000001" customHeight="1"/>
    <row r="115" s="6" customFormat="1" ht="20.100000000000001" customHeight="1"/>
    <row r="116" s="6" customFormat="1" ht="20.100000000000001" customHeight="1"/>
    <row r="117" s="6" customFormat="1" ht="20.100000000000001" customHeight="1"/>
    <row r="118" s="6" customFormat="1" ht="20.100000000000001" customHeight="1"/>
    <row r="119" s="6" customFormat="1" ht="20.100000000000001" customHeight="1"/>
    <row r="120" s="6" customFormat="1" ht="20.100000000000001" customHeight="1"/>
    <row r="121" s="6" customFormat="1" ht="20.100000000000001" customHeight="1"/>
    <row r="122" s="6" customFormat="1" ht="20.100000000000001" customHeight="1"/>
    <row r="123" s="6" customFormat="1" ht="20.100000000000001" customHeight="1"/>
    <row r="124" s="6" customFormat="1" ht="20.100000000000001" customHeight="1"/>
    <row r="125" s="6" customFormat="1" ht="20.100000000000001" customHeight="1"/>
    <row r="126" s="6" customFormat="1" ht="20.100000000000001" customHeight="1"/>
    <row r="127" s="6" customFormat="1" ht="20.100000000000001" customHeight="1"/>
    <row r="128" s="6" customFormat="1" ht="20.100000000000001" customHeight="1"/>
  </sheetData>
  <sortState ref="B9:K36">
    <sortCondition ref="B9:B36"/>
  </sortState>
  <mergeCells count="14">
    <mergeCell ref="H6:I6"/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1.46" header="0.31496062992125984" footer="0.31496062992125984"/>
  <pageSetup paperSize="5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"/>
  <sheetViews>
    <sheetView workbookViewId="0">
      <selection sqref="A1:K1"/>
    </sheetView>
  </sheetViews>
  <sheetFormatPr baseColWidth="10" defaultRowHeight="15"/>
  <cols>
    <col min="1" max="1" width="3.5703125" bestFit="1" customWidth="1"/>
    <col min="2" max="2" width="47" customWidth="1"/>
    <col min="3" max="3" width="10" bestFit="1" customWidth="1"/>
    <col min="4" max="6" width="5.7109375" customWidth="1"/>
    <col min="7" max="11" width="6.7109375" customWidth="1"/>
  </cols>
  <sheetData>
    <row r="1" spans="1:12">
      <c r="A1" s="23" t="s">
        <v>75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2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2">
      <c r="A4" s="23" t="s">
        <v>74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2" ht="15.75">
      <c r="A5" s="25" t="s">
        <v>17</v>
      </c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2" ht="35.1" customHeight="1">
      <c r="A6" s="26" t="s">
        <v>2</v>
      </c>
      <c r="B6" s="26" t="s">
        <v>3</v>
      </c>
      <c r="C6" s="27" t="s">
        <v>4</v>
      </c>
      <c r="D6" s="28" t="s">
        <v>5</v>
      </c>
      <c r="E6" s="28"/>
      <c r="F6" s="28"/>
      <c r="G6" s="17" t="s">
        <v>6</v>
      </c>
      <c r="H6" s="15" t="s">
        <v>7</v>
      </c>
      <c r="I6" s="16"/>
      <c r="J6" s="17" t="s">
        <v>8</v>
      </c>
      <c r="K6" s="19" t="s">
        <v>9</v>
      </c>
    </row>
    <row r="7" spans="1:12" ht="30" customHeight="1">
      <c r="A7" s="26"/>
      <c r="B7" s="26"/>
      <c r="C7" s="27"/>
      <c r="D7" s="5" t="s">
        <v>10</v>
      </c>
      <c r="E7" s="5" t="s">
        <v>11</v>
      </c>
      <c r="F7" s="5" t="s">
        <v>12</v>
      </c>
      <c r="G7" s="18"/>
      <c r="H7" s="4" t="s">
        <v>13</v>
      </c>
      <c r="I7" s="4" t="s">
        <v>14</v>
      </c>
      <c r="J7" s="18"/>
      <c r="K7" s="19"/>
    </row>
    <row r="8" spans="1:12">
      <c r="A8" s="20" t="s">
        <v>15</v>
      </c>
      <c r="B8" s="21"/>
      <c r="C8" s="22"/>
      <c r="D8" s="1">
        <v>15</v>
      </c>
      <c r="E8" s="1">
        <v>15</v>
      </c>
      <c r="F8" s="1">
        <v>15</v>
      </c>
      <c r="G8" s="2">
        <f t="shared" ref="G8" si="0">SUM(D8:F8)*100/45*0.4</f>
        <v>40</v>
      </c>
      <c r="H8" s="1">
        <v>30</v>
      </c>
      <c r="I8" s="1">
        <v>30</v>
      </c>
      <c r="J8" s="2">
        <f t="shared" ref="J8" si="1">SUM(H8:I8)</f>
        <v>60</v>
      </c>
      <c r="K8" s="3">
        <f>J8+G8</f>
        <v>100</v>
      </c>
    </row>
    <row r="9" spans="1:12" s="6" customFormat="1" ht="23.1" customHeight="1">
      <c r="A9" s="13">
        <v>1</v>
      </c>
      <c r="B9" s="9" t="s">
        <v>48</v>
      </c>
      <c r="C9" s="10">
        <v>5438503</v>
      </c>
      <c r="D9" s="11">
        <v>13</v>
      </c>
      <c r="E9" s="11">
        <v>15</v>
      </c>
      <c r="F9" s="11">
        <v>13</v>
      </c>
      <c r="G9" s="12">
        <f t="shared" ref="G9:G36" si="2">SUM(D9:F9)*100/45*0.4</f>
        <v>36.44444444444445</v>
      </c>
      <c r="H9" s="12">
        <v>18</v>
      </c>
      <c r="I9" s="12">
        <v>19</v>
      </c>
      <c r="J9" s="12">
        <f t="shared" ref="J9:J36" si="3">SUM(H9:I9)</f>
        <v>37</v>
      </c>
      <c r="K9" s="12">
        <f t="shared" ref="K9:K36" si="4">G9+J9</f>
        <v>73.444444444444457</v>
      </c>
    </row>
    <row r="10" spans="1:12" s="6" customFormat="1" ht="23.1" customHeight="1">
      <c r="A10" s="13">
        <v>2</v>
      </c>
      <c r="B10" s="9" t="s">
        <v>65</v>
      </c>
      <c r="C10" s="10">
        <v>6050712</v>
      </c>
      <c r="D10" s="11">
        <v>15</v>
      </c>
      <c r="E10" s="11">
        <v>15</v>
      </c>
      <c r="F10" s="11">
        <v>15</v>
      </c>
      <c r="G10" s="12">
        <f t="shared" si="2"/>
        <v>40</v>
      </c>
      <c r="H10" s="12">
        <v>9</v>
      </c>
      <c r="I10" s="12">
        <v>21</v>
      </c>
      <c r="J10" s="12">
        <f t="shared" si="3"/>
        <v>30</v>
      </c>
      <c r="K10" s="12">
        <f t="shared" si="4"/>
        <v>70</v>
      </c>
    </row>
    <row r="11" spans="1:12" s="6" customFormat="1" ht="23.1" customHeight="1">
      <c r="A11" s="13">
        <v>3</v>
      </c>
      <c r="B11" s="9" t="s">
        <v>56</v>
      </c>
      <c r="C11" s="10">
        <v>6787862</v>
      </c>
      <c r="D11" s="11">
        <v>15</v>
      </c>
      <c r="E11" s="11">
        <v>14</v>
      </c>
      <c r="F11" s="11">
        <v>15</v>
      </c>
      <c r="G11" s="12">
        <f t="shared" si="2"/>
        <v>39.111111111111114</v>
      </c>
      <c r="H11" s="12">
        <v>12</v>
      </c>
      <c r="I11" s="12">
        <v>21</v>
      </c>
      <c r="J11" s="12">
        <f t="shared" si="3"/>
        <v>33</v>
      </c>
      <c r="K11" s="12">
        <f t="shared" si="4"/>
        <v>72.111111111111114</v>
      </c>
    </row>
    <row r="12" spans="1:12" s="6" customFormat="1" ht="23.1" customHeight="1">
      <c r="A12" s="13">
        <v>4</v>
      </c>
      <c r="B12" s="9" t="s">
        <v>18</v>
      </c>
      <c r="C12" s="10">
        <v>6607612</v>
      </c>
      <c r="D12" s="11">
        <v>13</v>
      </c>
      <c r="E12" s="11">
        <v>13</v>
      </c>
      <c r="F12" s="11">
        <v>13</v>
      </c>
      <c r="G12" s="12">
        <f t="shared" si="2"/>
        <v>34.666666666666671</v>
      </c>
      <c r="H12" s="12">
        <v>17</v>
      </c>
      <c r="I12" s="12">
        <v>19</v>
      </c>
      <c r="J12" s="12">
        <f t="shared" si="3"/>
        <v>36</v>
      </c>
      <c r="K12" s="12">
        <f t="shared" si="4"/>
        <v>70.666666666666671</v>
      </c>
    </row>
    <row r="13" spans="1:12" s="6" customFormat="1" ht="23.1" customHeight="1">
      <c r="A13" s="13">
        <v>5</v>
      </c>
      <c r="B13" s="9" t="s">
        <v>71</v>
      </c>
      <c r="C13" s="10">
        <v>5489611</v>
      </c>
      <c r="D13" s="11">
        <v>15</v>
      </c>
      <c r="E13" s="11">
        <v>15</v>
      </c>
      <c r="F13" s="11">
        <v>13</v>
      </c>
      <c r="G13" s="12">
        <f t="shared" si="2"/>
        <v>38.222222222222221</v>
      </c>
      <c r="H13" s="12">
        <v>15</v>
      </c>
      <c r="I13" s="12">
        <v>16</v>
      </c>
      <c r="J13" s="12">
        <f t="shared" si="3"/>
        <v>31</v>
      </c>
      <c r="K13" s="12">
        <f t="shared" si="4"/>
        <v>69.222222222222229</v>
      </c>
      <c r="L13" s="14"/>
    </row>
    <row r="14" spans="1:12" s="6" customFormat="1" ht="23.1" customHeight="1">
      <c r="A14" s="13">
        <v>6</v>
      </c>
      <c r="B14" s="9" t="s">
        <v>49</v>
      </c>
      <c r="C14" s="10">
        <v>5676769</v>
      </c>
      <c r="D14" s="11">
        <v>14</v>
      </c>
      <c r="E14" s="11">
        <v>15</v>
      </c>
      <c r="F14" s="11">
        <v>15</v>
      </c>
      <c r="G14" s="12">
        <f t="shared" si="2"/>
        <v>39.111111111111114</v>
      </c>
      <c r="H14" s="12">
        <v>13</v>
      </c>
      <c r="I14" s="12">
        <v>21</v>
      </c>
      <c r="J14" s="12">
        <f t="shared" si="3"/>
        <v>34</v>
      </c>
      <c r="K14" s="12">
        <f t="shared" si="4"/>
        <v>73.111111111111114</v>
      </c>
    </row>
    <row r="15" spans="1:12" s="6" customFormat="1" ht="23.1" customHeight="1">
      <c r="A15" s="13">
        <v>7</v>
      </c>
      <c r="B15" s="9" t="s">
        <v>73</v>
      </c>
      <c r="C15" s="10">
        <v>5732747</v>
      </c>
      <c r="D15" s="11">
        <v>14</v>
      </c>
      <c r="E15" s="11">
        <v>14</v>
      </c>
      <c r="F15" s="11">
        <v>13</v>
      </c>
      <c r="G15" s="12">
        <f t="shared" si="2"/>
        <v>36.44444444444445</v>
      </c>
      <c r="H15" s="12">
        <v>14</v>
      </c>
      <c r="I15" s="12">
        <v>18</v>
      </c>
      <c r="J15" s="12">
        <f t="shared" si="3"/>
        <v>32</v>
      </c>
      <c r="K15" s="12">
        <f t="shared" si="4"/>
        <v>68.444444444444457</v>
      </c>
    </row>
    <row r="16" spans="1:12" s="6" customFormat="1" ht="23.1" customHeight="1">
      <c r="A16" s="13">
        <v>8</v>
      </c>
      <c r="B16" s="9" t="s">
        <v>66</v>
      </c>
      <c r="C16" s="10">
        <v>5526420</v>
      </c>
      <c r="D16" s="11">
        <v>11</v>
      </c>
      <c r="E16" s="11">
        <v>13</v>
      </c>
      <c r="F16" s="11">
        <v>13</v>
      </c>
      <c r="G16" s="12">
        <f t="shared" si="2"/>
        <v>32.888888888888893</v>
      </c>
      <c r="H16" s="12">
        <v>15</v>
      </c>
      <c r="I16" s="12">
        <v>22</v>
      </c>
      <c r="J16" s="12">
        <f t="shared" si="3"/>
        <v>37</v>
      </c>
      <c r="K16" s="12">
        <f t="shared" si="4"/>
        <v>69.888888888888886</v>
      </c>
    </row>
    <row r="17" spans="1:11" s="6" customFormat="1" ht="23.1" customHeight="1">
      <c r="A17" s="13">
        <v>9</v>
      </c>
      <c r="B17" s="9" t="s">
        <v>58</v>
      </c>
      <c r="C17" s="10">
        <v>5503931</v>
      </c>
      <c r="D17" s="11">
        <v>14</v>
      </c>
      <c r="E17" s="11">
        <v>15</v>
      </c>
      <c r="F17" s="11">
        <v>15</v>
      </c>
      <c r="G17" s="12">
        <f t="shared" si="2"/>
        <v>39.111111111111114</v>
      </c>
      <c r="H17" s="12">
        <v>15</v>
      </c>
      <c r="I17" s="12">
        <v>17</v>
      </c>
      <c r="J17" s="12">
        <f t="shared" si="3"/>
        <v>32</v>
      </c>
      <c r="K17" s="12">
        <f t="shared" si="4"/>
        <v>71.111111111111114</v>
      </c>
    </row>
    <row r="18" spans="1:11" s="6" customFormat="1" ht="23.1" customHeight="1">
      <c r="A18" s="13">
        <v>10</v>
      </c>
      <c r="B18" s="9" t="s">
        <v>52</v>
      </c>
      <c r="C18" s="10">
        <v>5687512</v>
      </c>
      <c r="D18" s="11">
        <v>14</v>
      </c>
      <c r="E18" s="11">
        <v>12</v>
      </c>
      <c r="F18" s="11">
        <v>15</v>
      </c>
      <c r="G18" s="12">
        <f t="shared" si="2"/>
        <v>36.44444444444445</v>
      </c>
      <c r="H18" s="12">
        <v>12</v>
      </c>
      <c r="I18" s="12">
        <v>24</v>
      </c>
      <c r="J18" s="12">
        <f t="shared" si="3"/>
        <v>36</v>
      </c>
      <c r="K18" s="12">
        <f t="shared" si="4"/>
        <v>72.444444444444457</v>
      </c>
    </row>
    <row r="19" spans="1:11" s="6" customFormat="1" ht="23.1" customHeight="1">
      <c r="A19" s="13">
        <v>11</v>
      </c>
      <c r="B19" s="9" t="s">
        <v>47</v>
      </c>
      <c r="C19" s="10">
        <v>5678223</v>
      </c>
      <c r="D19" s="11">
        <v>15</v>
      </c>
      <c r="E19" s="11">
        <v>15</v>
      </c>
      <c r="F19" s="11">
        <v>15</v>
      </c>
      <c r="G19" s="12">
        <f t="shared" si="2"/>
        <v>40</v>
      </c>
      <c r="H19" s="12">
        <v>12</v>
      </c>
      <c r="I19" s="12">
        <v>22</v>
      </c>
      <c r="J19" s="12">
        <f t="shared" si="3"/>
        <v>34</v>
      </c>
      <c r="K19" s="12">
        <f t="shared" si="4"/>
        <v>74</v>
      </c>
    </row>
    <row r="20" spans="1:11" s="6" customFormat="1" ht="23.1" customHeight="1">
      <c r="A20" s="13">
        <v>12</v>
      </c>
      <c r="B20" s="9" t="s">
        <v>51</v>
      </c>
      <c r="C20" s="10">
        <v>5744394</v>
      </c>
      <c r="D20" s="11">
        <v>13</v>
      </c>
      <c r="E20" s="11">
        <v>14</v>
      </c>
      <c r="F20" s="11">
        <v>13</v>
      </c>
      <c r="G20" s="12">
        <f t="shared" si="2"/>
        <v>35.555555555555557</v>
      </c>
      <c r="H20" s="12">
        <v>17</v>
      </c>
      <c r="I20" s="12">
        <v>20</v>
      </c>
      <c r="J20" s="12">
        <f t="shared" si="3"/>
        <v>37</v>
      </c>
      <c r="K20" s="12">
        <f t="shared" si="4"/>
        <v>72.555555555555557</v>
      </c>
    </row>
    <row r="21" spans="1:11" s="6" customFormat="1" ht="23.1" customHeight="1">
      <c r="A21" s="13">
        <v>13</v>
      </c>
      <c r="B21" s="9" t="s">
        <v>72</v>
      </c>
      <c r="C21" s="10">
        <v>5615822</v>
      </c>
      <c r="D21" s="11">
        <v>15</v>
      </c>
      <c r="E21" s="11">
        <v>15</v>
      </c>
      <c r="F21" s="11">
        <v>15</v>
      </c>
      <c r="G21" s="12">
        <f t="shared" si="2"/>
        <v>40</v>
      </c>
      <c r="H21" s="12">
        <v>10</v>
      </c>
      <c r="I21" s="12">
        <v>19</v>
      </c>
      <c r="J21" s="12">
        <f t="shared" si="3"/>
        <v>29</v>
      </c>
      <c r="K21" s="12">
        <f t="shared" si="4"/>
        <v>69</v>
      </c>
    </row>
    <row r="22" spans="1:11" s="6" customFormat="1" ht="23.1" customHeight="1">
      <c r="A22" s="13">
        <v>14</v>
      </c>
      <c r="B22" s="9" t="s">
        <v>61</v>
      </c>
      <c r="C22" s="10">
        <v>6963680</v>
      </c>
      <c r="D22" s="11">
        <v>14</v>
      </c>
      <c r="E22" s="11">
        <v>14</v>
      </c>
      <c r="F22" s="11">
        <v>14</v>
      </c>
      <c r="G22" s="12">
        <f t="shared" si="2"/>
        <v>37.333333333333336</v>
      </c>
      <c r="H22" s="12">
        <v>14</v>
      </c>
      <c r="I22" s="12">
        <v>19</v>
      </c>
      <c r="J22" s="12">
        <f t="shared" si="3"/>
        <v>33</v>
      </c>
      <c r="K22" s="12">
        <f t="shared" si="4"/>
        <v>70.333333333333343</v>
      </c>
    </row>
    <row r="23" spans="1:11" s="6" customFormat="1" ht="23.1" customHeight="1">
      <c r="A23" s="13">
        <v>15</v>
      </c>
      <c r="B23" s="9" t="s">
        <v>55</v>
      </c>
      <c r="C23" s="10">
        <v>5647204</v>
      </c>
      <c r="D23" s="11">
        <v>14</v>
      </c>
      <c r="E23" s="11">
        <v>14</v>
      </c>
      <c r="F23" s="11">
        <v>15</v>
      </c>
      <c r="G23" s="12">
        <f t="shared" si="2"/>
        <v>38.222222222222221</v>
      </c>
      <c r="H23" s="12">
        <v>14</v>
      </c>
      <c r="I23" s="12">
        <v>20</v>
      </c>
      <c r="J23" s="12">
        <f t="shared" si="3"/>
        <v>34</v>
      </c>
      <c r="K23" s="12">
        <f t="shared" si="4"/>
        <v>72.222222222222229</v>
      </c>
    </row>
    <row r="24" spans="1:11" s="6" customFormat="1" ht="23.1" customHeight="1">
      <c r="A24" s="13">
        <v>16</v>
      </c>
      <c r="B24" s="9" t="s">
        <v>63</v>
      </c>
      <c r="C24" s="10">
        <v>5782629</v>
      </c>
      <c r="D24" s="11">
        <v>15</v>
      </c>
      <c r="E24" s="11">
        <v>14</v>
      </c>
      <c r="F24" s="11">
        <v>15</v>
      </c>
      <c r="G24" s="12">
        <f t="shared" si="2"/>
        <v>39.111111111111114</v>
      </c>
      <c r="H24" s="12">
        <v>8</v>
      </c>
      <c r="I24" s="12">
        <v>23</v>
      </c>
      <c r="J24" s="12">
        <f t="shared" si="3"/>
        <v>31</v>
      </c>
      <c r="K24" s="12">
        <f t="shared" si="4"/>
        <v>70.111111111111114</v>
      </c>
    </row>
    <row r="25" spans="1:11" s="6" customFormat="1" ht="23.1" customHeight="1">
      <c r="A25" s="13">
        <v>17</v>
      </c>
      <c r="B25" s="9" t="s">
        <v>67</v>
      </c>
      <c r="C25" s="10">
        <v>5651042</v>
      </c>
      <c r="D25" s="11">
        <v>11</v>
      </c>
      <c r="E25" s="11">
        <v>13</v>
      </c>
      <c r="F25" s="11">
        <v>13</v>
      </c>
      <c r="G25" s="12">
        <f t="shared" si="2"/>
        <v>32.888888888888893</v>
      </c>
      <c r="H25" s="12">
        <v>15</v>
      </c>
      <c r="I25" s="12">
        <v>22</v>
      </c>
      <c r="J25" s="12">
        <f t="shared" si="3"/>
        <v>37</v>
      </c>
      <c r="K25" s="12">
        <f t="shared" si="4"/>
        <v>69.888888888888886</v>
      </c>
    </row>
    <row r="26" spans="1:11" s="6" customFormat="1" ht="23.1" customHeight="1">
      <c r="A26" s="13">
        <v>18</v>
      </c>
      <c r="B26" s="9" t="s">
        <v>62</v>
      </c>
      <c r="C26" s="10">
        <v>5438742</v>
      </c>
      <c r="D26" s="11">
        <v>15</v>
      </c>
      <c r="E26" s="11">
        <v>15</v>
      </c>
      <c r="F26" s="11">
        <v>13</v>
      </c>
      <c r="G26" s="12">
        <f t="shared" si="2"/>
        <v>38.222222222222221</v>
      </c>
      <c r="H26" s="12">
        <v>10</v>
      </c>
      <c r="I26" s="12">
        <v>22</v>
      </c>
      <c r="J26" s="12">
        <f t="shared" si="3"/>
        <v>32</v>
      </c>
      <c r="K26" s="12">
        <f t="shared" si="4"/>
        <v>70.222222222222229</v>
      </c>
    </row>
    <row r="27" spans="1:11" s="6" customFormat="1" ht="23.1" customHeight="1">
      <c r="A27" s="13">
        <v>19</v>
      </c>
      <c r="B27" s="9" t="s">
        <v>64</v>
      </c>
      <c r="C27" s="10">
        <v>5739871</v>
      </c>
      <c r="D27" s="11">
        <v>12</v>
      </c>
      <c r="E27" s="11">
        <v>11</v>
      </c>
      <c r="F27" s="11">
        <v>13</v>
      </c>
      <c r="G27" s="12">
        <f t="shared" si="2"/>
        <v>32</v>
      </c>
      <c r="H27" s="12">
        <v>17</v>
      </c>
      <c r="I27" s="12">
        <v>21</v>
      </c>
      <c r="J27" s="12">
        <f t="shared" si="3"/>
        <v>38</v>
      </c>
      <c r="K27" s="12">
        <f t="shared" si="4"/>
        <v>70</v>
      </c>
    </row>
    <row r="28" spans="1:11" s="6" customFormat="1" ht="23.1" customHeight="1">
      <c r="A28" s="13">
        <v>20</v>
      </c>
      <c r="B28" s="9" t="s">
        <v>60</v>
      </c>
      <c r="C28" s="10">
        <v>5481627</v>
      </c>
      <c r="D28" s="11">
        <v>11</v>
      </c>
      <c r="E28" s="11">
        <v>13</v>
      </c>
      <c r="F28" s="11">
        <v>14</v>
      </c>
      <c r="G28" s="12">
        <f t="shared" si="2"/>
        <v>33.777777777777779</v>
      </c>
      <c r="H28" s="12">
        <v>15</v>
      </c>
      <c r="I28" s="12">
        <v>22</v>
      </c>
      <c r="J28" s="12">
        <f t="shared" si="3"/>
        <v>37</v>
      </c>
      <c r="K28" s="12">
        <f t="shared" si="4"/>
        <v>70.777777777777771</v>
      </c>
    </row>
    <row r="29" spans="1:11" s="6" customFormat="1" ht="23.1" customHeight="1">
      <c r="A29" s="13">
        <v>21</v>
      </c>
      <c r="B29" s="9" t="s">
        <v>50</v>
      </c>
      <c r="C29" s="10">
        <v>8546594</v>
      </c>
      <c r="D29" s="11">
        <v>15</v>
      </c>
      <c r="E29" s="11">
        <v>15</v>
      </c>
      <c r="F29" s="11">
        <v>15</v>
      </c>
      <c r="G29" s="12">
        <f t="shared" si="2"/>
        <v>40</v>
      </c>
      <c r="H29" s="12">
        <v>15</v>
      </c>
      <c r="I29" s="12">
        <v>18</v>
      </c>
      <c r="J29" s="12">
        <f t="shared" si="3"/>
        <v>33</v>
      </c>
      <c r="K29" s="12">
        <f t="shared" si="4"/>
        <v>73</v>
      </c>
    </row>
    <row r="30" spans="1:11" s="6" customFormat="1" ht="23.1" customHeight="1">
      <c r="A30" s="13">
        <v>22</v>
      </c>
      <c r="B30" s="9" t="s">
        <v>68</v>
      </c>
      <c r="C30" s="10">
        <v>5610478</v>
      </c>
      <c r="D30" s="11">
        <v>12</v>
      </c>
      <c r="E30" s="11">
        <v>12</v>
      </c>
      <c r="F30" s="11">
        <v>14</v>
      </c>
      <c r="G30" s="12">
        <f t="shared" si="2"/>
        <v>33.777777777777779</v>
      </c>
      <c r="H30" s="12">
        <v>17</v>
      </c>
      <c r="I30" s="12">
        <v>19</v>
      </c>
      <c r="J30" s="12">
        <f t="shared" si="3"/>
        <v>36</v>
      </c>
      <c r="K30" s="12">
        <f t="shared" si="4"/>
        <v>69.777777777777771</v>
      </c>
    </row>
    <row r="31" spans="1:11" s="6" customFormat="1" ht="23.1" customHeight="1">
      <c r="A31" s="13">
        <v>23</v>
      </c>
      <c r="B31" s="9" t="s">
        <v>69</v>
      </c>
      <c r="C31" s="10">
        <v>5527603</v>
      </c>
      <c r="D31" s="11">
        <v>14</v>
      </c>
      <c r="E31" s="11">
        <v>11</v>
      </c>
      <c r="F31" s="11">
        <v>14</v>
      </c>
      <c r="G31" s="12">
        <f t="shared" si="2"/>
        <v>34.666666666666671</v>
      </c>
      <c r="H31" s="12">
        <v>15</v>
      </c>
      <c r="I31" s="12">
        <v>20</v>
      </c>
      <c r="J31" s="12">
        <f t="shared" si="3"/>
        <v>35</v>
      </c>
      <c r="K31" s="12">
        <f t="shared" si="4"/>
        <v>69.666666666666671</v>
      </c>
    </row>
    <row r="32" spans="1:11" s="6" customFormat="1" ht="23.1" customHeight="1">
      <c r="A32" s="13">
        <v>24</v>
      </c>
      <c r="B32" s="9" t="s">
        <v>59</v>
      </c>
      <c r="C32" s="10">
        <v>6167914</v>
      </c>
      <c r="D32" s="11">
        <v>13</v>
      </c>
      <c r="E32" s="11">
        <v>11</v>
      </c>
      <c r="F32" s="11">
        <v>11</v>
      </c>
      <c r="G32" s="12">
        <f t="shared" si="2"/>
        <v>31.111111111111111</v>
      </c>
      <c r="H32" s="12">
        <v>18</v>
      </c>
      <c r="I32" s="12">
        <v>22</v>
      </c>
      <c r="J32" s="12">
        <f t="shared" si="3"/>
        <v>40</v>
      </c>
      <c r="K32" s="12">
        <f t="shared" si="4"/>
        <v>71.111111111111114</v>
      </c>
    </row>
    <row r="33" spans="1:11" s="6" customFormat="1" ht="23.1" customHeight="1">
      <c r="A33" s="13">
        <v>25</v>
      </c>
      <c r="B33" s="9" t="s">
        <v>53</v>
      </c>
      <c r="C33" s="10">
        <v>5460343</v>
      </c>
      <c r="D33" s="11">
        <v>14</v>
      </c>
      <c r="E33" s="11">
        <v>13</v>
      </c>
      <c r="F33" s="11">
        <v>14</v>
      </c>
      <c r="G33" s="12">
        <f t="shared" si="2"/>
        <v>36.44444444444445</v>
      </c>
      <c r="H33" s="12">
        <v>15</v>
      </c>
      <c r="I33" s="12">
        <v>21</v>
      </c>
      <c r="J33" s="12">
        <f t="shared" si="3"/>
        <v>36</v>
      </c>
      <c r="K33" s="12">
        <f t="shared" si="4"/>
        <v>72.444444444444457</v>
      </c>
    </row>
    <row r="34" spans="1:11" s="6" customFormat="1" ht="23.1" customHeight="1">
      <c r="A34" s="13">
        <v>26</v>
      </c>
      <c r="B34" s="9" t="s">
        <v>70</v>
      </c>
      <c r="C34" s="10">
        <v>6545750</v>
      </c>
      <c r="D34" s="11">
        <v>14</v>
      </c>
      <c r="E34" s="11">
        <v>15</v>
      </c>
      <c r="F34" s="11">
        <v>13</v>
      </c>
      <c r="G34" s="12">
        <f t="shared" si="2"/>
        <v>37.333333333333336</v>
      </c>
      <c r="H34" s="12">
        <v>13</v>
      </c>
      <c r="I34" s="12">
        <v>19</v>
      </c>
      <c r="J34" s="12">
        <f t="shared" si="3"/>
        <v>32</v>
      </c>
      <c r="K34" s="12">
        <f t="shared" si="4"/>
        <v>69.333333333333343</v>
      </c>
    </row>
    <row r="35" spans="1:11" s="6" customFormat="1" ht="23.1" customHeight="1">
      <c r="A35" s="13">
        <v>27</v>
      </c>
      <c r="B35" s="9" t="s">
        <v>54</v>
      </c>
      <c r="C35" s="10">
        <v>5777210</v>
      </c>
      <c r="D35" s="11">
        <v>13</v>
      </c>
      <c r="E35" s="11">
        <v>14</v>
      </c>
      <c r="F35" s="11">
        <v>15</v>
      </c>
      <c r="G35" s="12">
        <f t="shared" si="2"/>
        <v>37.333333333333336</v>
      </c>
      <c r="H35" s="12">
        <v>18</v>
      </c>
      <c r="I35" s="12">
        <v>17</v>
      </c>
      <c r="J35" s="12">
        <f t="shared" si="3"/>
        <v>35</v>
      </c>
      <c r="K35" s="12">
        <f t="shared" si="4"/>
        <v>72.333333333333343</v>
      </c>
    </row>
    <row r="36" spans="1:11" s="6" customFormat="1" ht="23.1" customHeight="1">
      <c r="A36" s="13">
        <v>28</v>
      </c>
      <c r="B36" s="9" t="s">
        <v>57</v>
      </c>
      <c r="C36" s="10">
        <v>5742001</v>
      </c>
      <c r="D36" s="11">
        <v>15</v>
      </c>
      <c r="E36" s="11">
        <v>15</v>
      </c>
      <c r="F36" s="11">
        <v>15</v>
      </c>
      <c r="G36" s="12">
        <f t="shared" si="2"/>
        <v>40</v>
      </c>
      <c r="H36" s="12">
        <v>11</v>
      </c>
      <c r="I36" s="12">
        <v>21</v>
      </c>
      <c r="J36" s="12">
        <f t="shared" si="3"/>
        <v>32</v>
      </c>
      <c r="K36" s="12">
        <f t="shared" si="4"/>
        <v>72</v>
      </c>
    </row>
    <row r="37" spans="1:11" s="6" customFormat="1" ht="20.100000000000001" customHeight="1"/>
    <row r="38" spans="1:11" s="6" customFormat="1" ht="20.100000000000001" customHeight="1"/>
    <row r="39" spans="1:11" s="6" customFormat="1" ht="20.100000000000001" customHeight="1"/>
    <row r="40" spans="1:11" s="6" customFormat="1" ht="20.100000000000001" customHeight="1"/>
    <row r="41" spans="1:11" s="6" customFormat="1" ht="20.100000000000001" customHeight="1"/>
    <row r="42" spans="1:11" s="6" customFormat="1" ht="20.100000000000001" customHeight="1"/>
    <row r="43" spans="1:11" s="6" customFormat="1" ht="20.100000000000001" customHeight="1"/>
    <row r="44" spans="1:11" s="6" customFormat="1" ht="20.100000000000001" customHeight="1"/>
    <row r="45" spans="1:11" s="6" customFormat="1" ht="20.100000000000001" customHeight="1"/>
    <row r="46" spans="1:11" s="6" customFormat="1" ht="20.100000000000001" customHeight="1"/>
    <row r="47" spans="1:11" s="6" customFormat="1" ht="20.100000000000001" customHeight="1"/>
    <row r="48" spans="1:11" s="6" customFormat="1" ht="20.100000000000001" customHeight="1"/>
    <row r="49" s="6" customFormat="1" ht="20.100000000000001" customHeight="1"/>
    <row r="50" s="6" customFormat="1" ht="20.100000000000001" customHeight="1"/>
    <row r="51" s="6" customFormat="1" ht="20.100000000000001" customHeight="1"/>
    <row r="52" s="6" customFormat="1" ht="20.100000000000001" customHeight="1"/>
    <row r="53" s="6" customFormat="1" ht="20.100000000000001" customHeight="1"/>
    <row r="54" s="6" customFormat="1" ht="20.100000000000001" customHeight="1"/>
    <row r="55" s="6" customFormat="1" ht="20.100000000000001" customHeight="1"/>
    <row r="56" s="6" customFormat="1" ht="20.100000000000001" customHeight="1"/>
    <row r="57" s="6" customFormat="1" ht="20.100000000000001" customHeight="1"/>
    <row r="58" s="6" customFormat="1" ht="20.100000000000001" customHeight="1"/>
    <row r="59" s="6" customFormat="1" ht="20.100000000000001" customHeight="1"/>
    <row r="60" s="6" customFormat="1" ht="20.100000000000001" customHeight="1"/>
    <row r="61" s="6" customFormat="1" ht="20.100000000000001" customHeight="1"/>
    <row r="62" s="6" customFormat="1" ht="20.100000000000001" customHeight="1"/>
    <row r="63" s="6" customFormat="1" ht="20.100000000000001" customHeight="1"/>
    <row r="64" s="6" customFormat="1" ht="20.100000000000001" customHeight="1"/>
    <row r="65" s="6" customFormat="1" ht="20.100000000000001" customHeight="1"/>
    <row r="66" s="6" customFormat="1" ht="20.100000000000001" customHeight="1"/>
    <row r="67" s="6" customFormat="1" ht="20.100000000000001" customHeight="1"/>
    <row r="68" s="6" customFormat="1" ht="20.100000000000001" customHeight="1"/>
    <row r="69" s="6" customFormat="1" ht="20.100000000000001" customHeight="1"/>
    <row r="70" s="6" customFormat="1" ht="20.100000000000001" customHeight="1"/>
    <row r="71" s="6" customFormat="1" ht="20.100000000000001" customHeight="1"/>
    <row r="72" s="6" customFormat="1" ht="20.100000000000001" customHeight="1"/>
    <row r="73" s="6" customFormat="1" ht="20.100000000000001" customHeight="1"/>
    <row r="74" s="6" customFormat="1" ht="20.100000000000001" customHeight="1"/>
    <row r="75" s="6" customFormat="1" ht="20.100000000000001" customHeight="1"/>
    <row r="76" s="6" customFormat="1" ht="20.100000000000001" customHeight="1"/>
    <row r="77" s="6" customFormat="1" ht="20.100000000000001" customHeight="1"/>
    <row r="78" s="6" customFormat="1" ht="20.100000000000001" customHeight="1"/>
    <row r="79" s="6" customFormat="1" ht="20.100000000000001" customHeight="1"/>
    <row r="80" s="6" customFormat="1" ht="20.100000000000001" customHeight="1"/>
    <row r="81" s="6" customFormat="1" ht="20.100000000000001" customHeight="1"/>
    <row r="82" s="6" customFormat="1" ht="20.100000000000001" customHeight="1"/>
    <row r="83" s="6" customFormat="1" ht="20.100000000000001" customHeight="1"/>
    <row r="84" s="6" customFormat="1" ht="20.100000000000001" customHeight="1"/>
    <row r="85" s="6" customFormat="1" ht="20.100000000000001" customHeight="1"/>
    <row r="86" s="6" customFormat="1" ht="20.100000000000001" customHeight="1"/>
    <row r="87" s="6" customFormat="1" ht="20.100000000000001" customHeight="1"/>
    <row r="88" s="6" customFormat="1" ht="20.100000000000001" customHeight="1"/>
    <row r="89" s="6" customFormat="1" ht="20.100000000000001" customHeight="1"/>
    <row r="90" s="6" customFormat="1" ht="20.100000000000001" customHeight="1"/>
    <row r="91" s="6" customFormat="1" ht="20.100000000000001" customHeight="1"/>
    <row r="92" s="6" customFormat="1" ht="20.100000000000001" customHeight="1"/>
    <row r="93" s="6" customFormat="1" ht="20.100000000000001" customHeight="1"/>
    <row r="94" s="6" customFormat="1" ht="20.100000000000001" customHeight="1"/>
    <row r="95" s="6" customFormat="1" ht="20.100000000000001" customHeight="1"/>
    <row r="96" s="6" customFormat="1" ht="20.100000000000001" customHeight="1"/>
    <row r="97" s="6" customFormat="1" ht="20.100000000000001" customHeight="1"/>
    <row r="98" s="6" customFormat="1" ht="20.100000000000001" customHeight="1"/>
    <row r="99" s="6" customFormat="1" ht="20.100000000000001" customHeight="1"/>
    <row r="100" s="6" customFormat="1" ht="20.100000000000001" customHeight="1"/>
    <row r="101" s="6" customFormat="1" ht="20.100000000000001" customHeight="1"/>
    <row r="102" s="6" customFormat="1" ht="20.100000000000001" customHeight="1"/>
    <row r="103" s="6" customFormat="1" ht="20.100000000000001" customHeight="1"/>
    <row r="104" s="6" customFormat="1" ht="20.100000000000001" customHeight="1"/>
    <row r="105" s="6" customFormat="1" ht="20.100000000000001" customHeight="1"/>
    <row r="106" s="6" customFormat="1" ht="20.100000000000001" customHeight="1"/>
    <row r="107" s="6" customFormat="1" ht="20.100000000000001" customHeight="1"/>
    <row r="108" s="6" customFormat="1" ht="20.100000000000001" customHeight="1"/>
    <row r="109" s="6" customFormat="1" ht="20.100000000000001" customHeight="1"/>
    <row r="110" s="6" customFormat="1" ht="20.100000000000001" customHeight="1"/>
    <row r="111" s="6" customFormat="1" ht="20.100000000000001" customHeight="1"/>
    <row r="112" s="6" customFormat="1" ht="20.100000000000001" customHeight="1"/>
    <row r="113" s="6" customFormat="1" ht="20.100000000000001" customHeight="1"/>
    <row r="114" s="6" customFormat="1" ht="20.100000000000001" customHeight="1"/>
    <row r="115" s="6" customFormat="1" ht="20.100000000000001" customHeight="1"/>
    <row r="116" s="6" customFormat="1" ht="20.100000000000001" customHeight="1"/>
    <row r="117" s="6" customFormat="1" ht="20.100000000000001" customHeight="1"/>
    <row r="118" s="6" customFormat="1" ht="20.100000000000001" customHeight="1"/>
    <row r="119" s="6" customFormat="1" ht="20.100000000000001" customHeight="1"/>
    <row r="120" s="6" customFormat="1" ht="20.100000000000001" customHeight="1"/>
    <row r="121" s="6" customFormat="1" ht="20.100000000000001" customHeight="1"/>
    <row r="122" s="6" customFormat="1" ht="20.100000000000001" customHeight="1"/>
    <row r="123" s="6" customFormat="1" ht="20.100000000000001" customHeight="1"/>
    <row r="124" s="6" customFormat="1" ht="20.100000000000001" customHeight="1"/>
    <row r="125" s="6" customFormat="1" ht="20.100000000000001" customHeight="1"/>
    <row r="126" s="6" customFormat="1" ht="20.100000000000001" customHeight="1"/>
    <row r="127" s="6" customFormat="1" ht="20.100000000000001" customHeight="1"/>
  </sheetData>
  <sortState ref="B9:K36">
    <sortCondition ref="B9:B36"/>
  </sortState>
  <mergeCells count="14">
    <mergeCell ref="H6:I6"/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1.46" header="0.31496062992125984" footer="0.31496062992125984"/>
  <pageSetup paperSize="5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INFO(1)</vt:lpstr>
      <vt:lpstr>INFO(2)</vt:lpstr>
      <vt:lpstr>'INFO(1)'!Títulos_a_imprimir</vt:lpstr>
      <vt:lpstr>'INFO(2)'!Títulos_a_imprimir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2020-02-24T10:25:18Z</cp:lastPrinted>
  <dcterms:created xsi:type="dcterms:W3CDTF">2016-02-17T13:19:12Z</dcterms:created>
  <dcterms:modified xsi:type="dcterms:W3CDTF">2021-03-08T22:27:50Z</dcterms:modified>
</cp:coreProperties>
</file>